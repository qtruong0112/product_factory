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Fall 2024 (OJT)\F88\Sprint 2 (02_09_2024 - 13_09_2024)\"/>
    </mc:Choice>
  </mc:AlternateContent>
  <xr:revisionPtr revIDLastSave="0" documentId="13_ncr:1_{455CC212-695F-4135-9326-40455485DB2B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Tính Lịch Simulation Eng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F7" i="2"/>
  <c r="F4" i="2"/>
  <c r="C10" i="2" l="1"/>
  <c r="G4" i="2" l="1"/>
  <c r="F10" i="2" s="1"/>
  <c r="C18" i="2"/>
  <c r="B19" i="2" l="1"/>
  <c r="B20" i="2" l="1"/>
  <c r="E18" i="2"/>
  <c r="G7" i="2"/>
  <c r="E7" i="2"/>
  <c r="B21" i="2" l="1"/>
  <c r="J18" i="2"/>
  <c r="C14" i="2"/>
  <c r="C19" i="2" s="1"/>
  <c r="D19" i="2" s="1"/>
  <c r="C11" i="2"/>
  <c r="C13" i="2" s="1"/>
  <c r="C15" i="2" s="1"/>
  <c r="G19" i="2" l="1"/>
  <c r="C5" i="2"/>
  <c r="B22" i="2"/>
  <c r="C20" i="2"/>
  <c r="D20" i="2" s="1"/>
  <c r="F19" i="2" l="1"/>
  <c r="I19" i="2"/>
  <c r="H19" i="2"/>
  <c r="B23" i="2"/>
  <c r="C21" i="2"/>
  <c r="E19" i="2" l="1"/>
  <c r="B24" i="2"/>
  <c r="C22" i="2"/>
  <c r="D21" i="2"/>
  <c r="J19" i="2"/>
  <c r="K19" i="2" l="1"/>
  <c r="G20" i="2"/>
  <c r="I20" i="2" s="1"/>
  <c r="B25" i="2"/>
  <c r="C23" i="2"/>
  <c r="D22" i="2"/>
  <c r="H20" i="2" l="1"/>
  <c r="B26" i="2"/>
  <c r="F20" i="2"/>
  <c r="C24" i="2"/>
  <c r="D23" i="2"/>
  <c r="E20" i="2" l="1"/>
  <c r="B27" i="2"/>
  <c r="C25" i="2"/>
  <c r="D24" i="2"/>
  <c r="J20" i="2"/>
  <c r="K20" i="2" s="1"/>
  <c r="G21" i="2" l="1"/>
  <c r="I21" i="2" s="1"/>
  <c r="B28" i="2"/>
  <c r="C26" i="2"/>
  <c r="D25" i="2"/>
  <c r="H21" i="2" l="1"/>
  <c r="B29" i="2"/>
  <c r="C27" i="2"/>
  <c r="D26" i="2"/>
  <c r="F21" i="2"/>
  <c r="J21" i="2" l="1"/>
  <c r="K21" i="2" s="1"/>
  <c r="B30" i="2"/>
  <c r="C28" i="2"/>
  <c r="D27" i="2"/>
  <c r="E21" i="2"/>
  <c r="G22" i="2" l="1"/>
  <c r="I22" i="2" s="1"/>
  <c r="B31" i="2"/>
  <c r="C29" i="2"/>
  <c r="C30" i="2" s="1"/>
  <c r="D28" i="2"/>
  <c r="F22" i="2" l="1"/>
  <c r="J22" i="2" s="1"/>
  <c r="K22" i="2" s="1"/>
  <c r="H22" i="2"/>
  <c r="C31" i="2"/>
  <c r="B32" i="2"/>
  <c r="E22" i="2"/>
  <c r="D29" i="2"/>
  <c r="G23" i="2"/>
  <c r="I23" i="2" s="1"/>
  <c r="H32" i="2" l="1"/>
  <c r="H23" i="2"/>
  <c r="I32" i="2"/>
  <c r="C32" i="2"/>
  <c r="B33" i="2"/>
  <c r="D30" i="2"/>
  <c r="D31" i="2" s="1"/>
  <c r="F23" i="2"/>
  <c r="J23" i="2" s="1"/>
  <c r="K23" i="2" s="1"/>
  <c r="H33" i="2" l="1"/>
  <c r="I33" i="2"/>
  <c r="G24" i="2"/>
  <c r="I24" i="2" s="1"/>
  <c r="B34" i="2"/>
  <c r="C33" i="2"/>
  <c r="E23" i="2"/>
  <c r="H34" i="2" l="1"/>
  <c r="H24" i="2"/>
  <c r="I34" i="2"/>
  <c r="F24" i="2"/>
  <c r="E24" i="2" s="1"/>
  <c r="C34" i="2"/>
  <c r="B35" i="2"/>
  <c r="D32" i="2"/>
  <c r="H35" i="2" l="1"/>
  <c r="J24" i="2"/>
  <c r="I35" i="2"/>
  <c r="B36" i="2"/>
  <c r="C35" i="2"/>
  <c r="D35" i="2" s="1"/>
  <c r="D33" i="2"/>
  <c r="K24" i="2" l="1"/>
  <c r="G25" i="2"/>
  <c r="I25" i="2" s="1"/>
  <c r="H36" i="2"/>
  <c r="H25" i="2"/>
  <c r="I36" i="2"/>
  <c r="B37" i="2"/>
  <c r="C36" i="2"/>
  <c r="D36" i="2" s="1"/>
  <c r="D34" i="2"/>
  <c r="F25" i="2"/>
  <c r="E25" i="2" s="1"/>
  <c r="H37" i="2" l="1"/>
  <c r="I37" i="2"/>
  <c r="B38" i="2"/>
  <c r="C37" i="2"/>
  <c r="D37" i="2" s="1"/>
  <c r="J25" i="2"/>
  <c r="K25" i="2" l="1"/>
  <c r="H38" i="2"/>
  <c r="I38" i="2"/>
  <c r="B39" i="2"/>
  <c r="C38" i="2"/>
  <c r="D38" i="2" s="1"/>
  <c r="G26" i="2"/>
  <c r="I26" i="2" s="1"/>
  <c r="H39" i="2" l="1"/>
  <c r="H26" i="2"/>
  <c r="I39" i="2"/>
  <c r="B40" i="2"/>
  <c r="C39" i="2"/>
  <c r="D39" i="2" s="1"/>
  <c r="F26" i="2"/>
  <c r="J26" i="2" l="1"/>
  <c r="K26" i="2" s="1"/>
  <c r="I40" i="2"/>
  <c r="H40" i="2"/>
  <c r="B41" i="2"/>
  <c r="C40" i="2"/>
  <c r="D40" i="2" s="1"/>
  <c r="G27" i="2"/>
  <c r="I27" i="2" s="1"/>
  <c r="E26" i="2"/>
  <c r="H27" i="2" l="1"/>
  <c r="I41" i="2"/>
  <c r="H41" i="2"/>
  <c r="B42" i="2"/>
  <c r="C41" i="2"/>
  <c r="D41" i="2" s="1"/>
  <c r="F27" i="2"/>
  <c r="E27" i="2" s="1"/>
  <c r="J27" i="2" l="1"/>
  <c r="K27" i="2" s="1"/>
  <c r="I42" i="2"/>
  <c r="H42" i="2"/>
  <c r="G28" i="2"/>
  <c r="I28" i="2" s="1"/>
  <c r="B43" i="2"/>
  <c r="C42" i="2"/>
  <c r="D42" i="2" s="1"/>
  <c r="H28" i="2" l="1"/>
  <c r="I43" i="2"/>
  <c r="H43" i="2"/>
  <c r="B44" i="2"/>
  <c r="C43" i="2"/>
  <c r="D43" i="2" s="1"/>
  <c r="F28" i="2"/>
  <c r="H44" i="2" l="1"/>
  <c r="I44" i="2"/>
  <c r="B45" i="2"/>
  <c r="C44" i="2"/>
  <c r="D44" i="2" s="1"/>
  <c r="E28" i="2"/>
  <c r="J28" i="2"/>
  <c r="K28" i="2" s="1"/>
  <c r="H45" i="2" l="1"/>
  <c r="I45" i="2"/>
  <c r="G29" i="2"/>
  <c r="I29" i="2" s="1"/>
  <c r="B46" i="2"/>
  <c r="C45" i="2"/>
  <c r="D45" i="2" s="1"/>
  <c r="H29" i="2" l="1"/>
  <c r="H46" i="2"/>
  <c r="I46" i="2"/>
  <c r="B47" i="2"/>
  <c r="C46" i="2"/>
  <c r="D46" i="2" s="1"/>
  <c r="F29" i="2"/>
  <c r="H47" i="2" l="1"/>
  <c r="I47" i="2"/>
  <c r="B48" i="2"/>
  <c r="C47" i="2"/>
  <c r="D47" i="2" s="1"/>
  <c r="J29" i="2"/>
  <c r="K29" i="2" s="1"/>
  <c r="E29" i="2"/>
  <c r="I48" i="2" l="1"/>
  <c r="H48" i="2"/>
  <c r="G30" i="2"/>
  <c r="I30" i="2" s="1"/>
  <c r="I31" i="2" s="1"/>
  <c r="B49" i="2"/>
  <c r="C48" i="2"/>
  <c r="D48" i="2" s="1"/>
  <c r="H30" i="2" l="1"/>
  <c r="H31" i="2" s="1"/>
  <c r="I49" i="2"/>
  <c r="H49" i="2"/>
  <c r="B50" i="2"/>
  <c r="C49" i="2"/>
  <c r="D49" i="2" s="1"/>
  <c r="F30" i="2"/>
  <c r="I50" i="2" l="1"/>
  <c r="H50" i="2"/>
  <c r="B51" i="2"/>
  <c r="C50" i="2"/>
  <c r="D50" i="2" s="1"/>
  <c r="E30" i="2"/>
  <c r="J30" i="2"/>
  <c r="K30" i="2" s="1"/>
  <c r="I51" i="2" l="1"/>
  <c r="H51" i="2"/>
  <c r="B52" i="2"/>
  <c r="C51" i="2"/>
  <c r="D51" i="2" s="1"/>
  <c r="G31" i="2"/>
  <c r="H52" i="2" l="1"/>
  <c r="I52" i="2"/>
  <c r="F31" i="2"/>
  <c r="B53" i="2"/>
  <c r="C52" i="2"/>
  <c r="D52" i="2" s="1"/>
  <c r="H53" i="2" l="1"/>
  <c r="I53" i="2"/>
  <c r="B54" i="2"/>
  <c r="C53" i="2"/>
  <c r="D53" i="2" s="1"/>
  <c r="E31" i="2"/>
  <c r="J31" i="2"/>
  <c r="K31" i="2" s="1"/>
  <c r="H54" i="2" l="1"/>
  <c r="I54" i="2"/>
  <c r="G32" i="2"/>
  <c r="B55" i="2"/>
  <c r="C54" i="2"/>
  <c r="D54" i="2" s="1"/>
  <c r="I55" i="2" l="1"/>
  <c r="H55" i="2"/>
  <c r="C55" i="2"/>
  <c r="D55" i="2" s="1"/>
  <c r="D56" i="2" s="1"/>
  <c r="F32" i="2"/>
  <c r="E32" i="2" l="1"/>
  <c r="J32" i="2"/>
  <c r="K32" i="2" s="1"/>
  <c r="G33" i="2" l="1"/>
  <c r="L33" i="2" s="1"/>
  <c r="F33" i="2" l="1"/>
  <c r="E33" i="2" l="1"/>
  <c r="J33" i="2"/>
  <c r="K33" i="2" s="1"/>
  <c r="G34" i="2" l="1"/>
  <c r="L34" i="2" s="1"/>
  <c r="F34" i="2" l="1"/>
  <c r="E34" i="2" l="1"/>
  <c r="J34" i="2"/>
  <c r="K34" i="2" s="1"/>
  <c r="G35" i="2" l="1"/>
  <c r="L35" i="2" s="1"/>
  <c r="F35" i="2" l="1"/>
  <c r="E35" i="2" l="1"/>
  <c r="J35" i="2"/>
  <c r="K35" i="2" s="1"/>
  <c r="G36" i="2" l="1"/>
  <c r="L36" i="2" s="1"/>
  <c r="F36" i="2" l="1"/>
  <c r="E36" i="2" l="1"/>
  <c r="J36" i="2"/>
  <c r="K36" i="2" s="1"/>
  <c r="M36" i="2" s="1"/>
  <c r="G37" i="2" l="1"/>
  <c r="L37" i="2" s="1"/>
  <c r="F37" i="2" l="1"/>
  <c r="E37" i="2" l="1"/>
  <c r="J37" i="2"/>
  <c r="K37" i="2" s="1"/>
  <c r="M37" i="2" s="1"/>
  <c r="G38" i="2" l="1"/>
  <c r="L38" i="2" s="1"/>
  <c r="F38" i="2" l="1"/>
  <c r="E38" i="2" l="1"/>
  <c r="J38" i="2"/>
  <c r="K38" i="2" s="1"/>
  <c r="M38" i="2" s="1"/>
  <c r="G39" i="2" l="1"/>
  <c r="L39" i="2" s="1"/>
  <c r="F39" i="2" l="1"/>
  <c r="E39" i="2" l="1"/>
  <c r="J39" i="2"/>
  <c r="K39" i="2" s="1"/>
  <c r="M39" i="2" s="1"/>
  <c r="G40" i="2" l="1"/>
  <c r="L40" i="2" s="1"/>
  <c r="F40" i="2" l="1"/>
  <c r="E40" i="2" l="1"/>
  <c r="J40" i="2"/>
  <c r="K40" i="2" s="1"/>
  <c r="M40" i="2" s="1"/>
  <c r="G41" i="2" l="1"/>
  <c r="L41" i="2" s="1"/>
  <c r="F41" i="2" l="1"/>
  <c r="E41" i="2" l="1"/>
  <c r="J41" i="2"/>
  <c r="K41" i="2" s="1"/>
  <c r="M41" i="2" s="1"/>
  <c r="G42" i="2" l="1"/>
  <c r="L42" i="2" s="1"/>
  <c r="F42" i="2" l="1"/>
  <c r="E42" i="2" l="1"/>
  <c r="J42" i="2"/>
  <c r="K42" i="2" s="1"/>
  <c r="M42" i="2" s="1"/>
  <c r="G43" i="2" l="1"/>
  <c r="L43" i="2" s="1"/>
  <c r="F43" i="2" l="1"/>
  <c r="E43" i="2" l="1"/>
  <c r="J43" i="2"/>
  <c r="K43" i="2" s="1"/>
  <c r="M43" i="2" s="1"/>
  <c r="G44" i="2" l="1"/>
  <c r="L44" i="2" s="1"/>
  <c r="F44" i="2" l="1"/>
  <c r="E44" i="2" l="1"/>
  <c r="J44" i="2"/>
  <c r="K44" i="2" s="1"/>
  <c r="M44" i="2" s="1"/>
  <c r="G45" i="2" l="1"/>
  <c r="L45" i="2" s="1"/>
  <c r="F45" i="2" l="1"/>
  <c r="E45" i="2" l="1"/>
  <c r="J45" i="2"/>
  <c r="K45" i="2" s="1"/>
  <c r="M45" i="2" s="1"/>
  <c r="G46" i="2" l="1"/>
  <c r="L46" i="2" s="1"/>
  <c r="F46" i="2" l="1"/>
  <c r="E46" i="2" l="1"/>
  <c r="J46" i="2"/>
  <c r="K46" i="2" s="1"/>
  <c r="M46" i="2" s="1"/>
  <c r="G47" i="2" l="1"/>
  <c r="L47" i="2" s="1"/>
  <c r="F47" i="2" l="1"/>
  <c r="E47" i="2" l="1"/>
  <c r="J47" i="2"/>
  <c r="K47" i="2" s="1"/>
  <c r="M47" i="2" s="1"/>
  <c r="G48" i="2" l="1"/>
  <c r="L48" i="2" s="1"/>
  <c r="F48" i="2" l="1"/>
  <c r="E48" i="2" l="1"/>
  <c r="J48" i="2"/>
  <c r="K48" i="2" s="1"/>
  <c r="M48" i="2" s="1"/>
  <c r="G49" i="2" l="1"/>
  <c r="L49" i="2" s="1"/>
  <c r="F49" i="2" l="1"/>
  <c r="E49" i="2" l="1"/>
  <c r="J49" i="2"/>
  <c r="K49" i="2" s="1"/>
  <c r="M49" i="2" s="1"/>
  <c r="G50" i="2" l="1"/>
  <c r="L50" i="2" s="1"/>
  <c r="F50" i="2" l="1"/>
  <c r="E50" i="2" l="1"/>
  <c r="J50" i="2"/>
  <c r="K50" i="2" s="1"/>
  <c r="M50" i="2" s="1"/>
  <c r="G51" i="2" l="1"/>
  <c r="L51" i="2" s="1"/>
  <c r="F51" i="2" l="1"/>
  <c r="E51" i="2" l="1"/>
  <c r="J51" i="2"/>
  <c r="K51" i="2" s="1"/>
  <c r="M51" i="2" s="1"/>
  <c r="G52" i="2" l="1"/>
  <c r="L52" i="2" s="1"/>
  <c r="F52" i="2" l="1"/>
  <c r="E52" i="2" l="1"/>
  <c r="J52" i="2"/>
  <c r="K52" i="2" s="1"/>
  <c r="M52" i="2" s="1"/>
  <c r="G53" i="2" l="1"/>
  <c r="L53" i="2" s="1"/>
  <c r="F53" i="2" l="1"/>
  <c r="E53" i="2" l="1"/>
  <c r="J53" i="2"/>
  <c r="K53" i="2" s="1"/>
  <c r="M53" i="2" s="1"/>
  <c r="G54" i="2" l="1"/>
  <c r="L54" i="2" s="1"/>
  <c r="F54" i="2" l="1"/>
  <c r="J54" i="2" s="1"/>
  <c r="G55" i="2"/>
  <c r="E54" i="2"/>
  <c r="F55" i="2"/>
  <c r="E55" i="2" s="1"/>
  <c r="L55" i="2" l="1"/>
  <c r="K54" i="2"/>
  <c r="M54" i="2" s="1"/>
  <c r="J55" i="2"/>
  <c r="K55" i="2" s="1"/>
</calcChain>
</file>

<file path=xl/sharedStrings.xml><?xml version="1.0" encoding="utf-8"?>
<sst xmlns="http://schemas.openxmlformats.org/spreadsheetml/2006/main" count="37" uniqueCount="36">
  <si>
    <t>LỊCH TRẢ GỐC HÀNG KỲ</t>
  </si>
  <si>
    <t>HIỆN TẠI</t>
  </si>
  <si>
    <t>Khoản vay</t>
  </si>
  <si>
    <t>Bảo hiểm</t>
  </si>
  <si>
    <t>Dư nợ</t>
  </si>
  <si>
    <t>Thời gian vay
(Tháng)</t>
  </si>
  <si>
    <t>Ngày trong năm</t>
  </si>
  <si>
    <t>CPV quy đổi (%/tháng)</t>
  </si>
  <si>
    <t>CPV tính EMI</t>
  </si>
  <si>
    <t>Số kỳ không trả gốc/ân hạn gốc</t>
  </si>
  <si>
    <t>Số tiền thanh toán hàng kỳ (EMI)</t>
  </si>
  <si>
    <t>Day</t>
  </si>
  <si>
    <t>Month</t>
  </si>
  <si>
    <t>Year</t>
  </si>
  <si>
    <t>Ngày vay</t>
  </si>
  <si>
    <t>Ngày thanh toán hàng tháng</t>
  </si>
  <si>
    <t>Ngày thanh toán gốc tham chiếu</t>
  </si>
  <si>
    <t>Ngày thanh toán CPV tham chiếu</t>
  </si>
  <si>
    <t>Số ngày từ ngày giải ngân tới ngày trả gốc tham chiếu</t>
  </si>
  <si>
    <t>T- Số ngày từ ngày giải ngân tới ngày trả gốc min</t>
  </si>
  <si>
    <t>Ngày thanh toán Gốc đầu tiên</t>
  </si>
  <si>
    <t>Ngày thanh toán CPV đầu tiên</t>
  </si>
  <si>
    <t>Số ngày từ ngày giải ngân tới ngày trả gốc thực tế</t>
  </si>
  <si>
    <t xml:space="preserve">Tối thiểu ngày trả lãi đầu tiên </t>
  </si>
  <si>
    <t>STT</t>
  </si>
  <si>
    <t>Ngày đóng tiền</t>
  </si>
  <si>
    <t>Số ngày tính CPV</t>
  </si>
  <si>
    <t>Số tiền hàng kì</t>
  </si>
  <si>
    <t>Tiền gốc</t>
  </si>
  <si>
    <t>Chi phí vay</t>
  </si>
  <si>
    <t>Nợ gốc còn lại</t>
  </si>
  <si>
    <t>Phí tất toán trước hạn</t>
  </si>
  <si>
    <t>Lãi</t>
  </si>
  <si>
    <t>Phí quản lý</t>
  </si>
  <si>
    <r>
      <t xml:space="preserve">LỊCH </t>
    </r>
    <r>
      <rPr>
        <sz val="11"/>
        <color theme="1"/>
        <rFont val="Times New Roman"/>
        <family val="1"/>
      </rPr>
      <t>TRẢ NỢ</t>
    </r>
  </si>
  <si>
    <t>Phí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</si>
</sst>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#,##0.00\ &quot;₫&quot;;[Red]\-#,##0.00\ &quot;₫&quot;"/>
    <numFmt numFmtId="166" formatCode="#,##0_ ;\-#,##0\ "/>
    <numFmt numFmtId="167" formatCode="_-* #,##0_-;\-* #,##0_-;_-* &quot;-&quot;??_-;_-@"/>
    <numFmt numFmtId="168" formatCode="[$VND]\ #,##0_);[Red]\([$VND]\ #,##0\)"/>
    <numFmt numFmtId="169" formatCode="dd\/mm\/yyyy"/>
    <numFmt numFmtId="170" formatCode="_-* #,##0_-;\-* #,##0_-;_-* &quot;-&quot;??_-;_-@_-"/>
  </numFmts>
  <fonts count="12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b/>
      <sz val="16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C0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rgb="FFADB9CA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 wrapText="1"/>
    </xf>
    <xf numFmtId="0" fontId="4" fillId="0" borderId="0" xfId="1" applyFont="1"/>
    <xf numFmtId="166" fontId="4" fillId="0" borderId="0" xfId="1" applyNumberFormat="1" applyFont="1"/>
    <xf numFmtId="166" fontId="6" fillId="0" borderId="0" xfId="1" applyNumberFormat="1" applyFont="1"/>
    <xf numFmtId="167" fontId="6" fillId="0" borderId="0" xfId="1" applyNumberFormat="1" applyFont="1"/>
    <xf numFmtId="0" fontId="6" fillId="0" borderId="0" xfId="1" applyFont="1" applyAlignment="1">
      <alignment horizontal="left" vertical="center"/>
    </xf>
    <xf numFmtId="14" fontId="4" fillId="0" borderId="0" xfId="1" applyNumberFormat="1" applyFont="1" applyAlignment="1">
      <alignment vertical="center"/>
    </xf>
    <xf numFmtId="1" fontId="4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166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vertical="center"/>
    </xf>
    <xf numFmtId="14" fontId="4" fillId="0" borderId="0" xfId="1" applyNumberFormat="1" applyFont="1"/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66" fontId="4" fillId="0" borderId="3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166" fontId="8" fillId="0" borderId="1" xfId="1" applyNumberFormat="1" applyFont="1" applyBorder="1" applyAlignment="1">
      <alignment horizontal="left" vertical="center"/>
    </xf>
    <xf numFmtId="167" fontId="6" fillId="0" borderId="1" xfId="1" applyNumberFormat="1" applyFont="1" applyBorder="1"/>
    <xf numFmtId="168" fontId="4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right" vertical="center"/>
    </xf>
    <xf numFmtId="166" fontId="6" fillId="0" borderId="1" xfId="1" applyNumberFormat="1" applyFont="1" applyBorder="1"/>
    <xf numFmtId="166" fontId="8" fillId="0" borderId="0" xfId="1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1" xfId="1" applyFont="1" applyBorder="1" applyAlignment="1">
      <alignment horizontal="center"/>
    </xf>
    <xf numFmtId="169" fontId="6" fillId="0" borderId="1" xfId="1" applyNumberFormat="1" applyFont="1" applyBorder="1" applyAlignment="1">
      <alignment horizontal="left" vertical="top"/>
    </xf>
    <xf numFmtId="0" fontId="6" fillId="0" borderId="1" xfId="1" applyFont="1" applyBorder="1"/>
    <xf numFmtId="0" fontId="4" fillId="0" borderId="1" xfId="1" applyFont="1" applyBorder="1"/>
    <xf numFmtId="166" fontId="4" fillId="0" borderId="1" xfId="1" applyNumberFormat="1" applyFont="1" applyBorder="1"/>
    <xf numFmtId="0" fontId="6" fillId="5" borderId="0" xfId="1" applyFont="1" applyFill="1" applyAlignment="1">
      <alignment horizontal="center" vertical="center"/>
    </xf>
    <xf numFmtId="165" fontId="4" fillId="0" borderId="0" xfId="1" applyNumberFormat="1" applyFont="1"/>
    <xf numFmtId="0" fontId="4" fillId="3" borderId="1" xfId="1" applyFont="1" applyFill="1" applyBorder="1" applyAlignment="1">
      <alignment horizontal="center"/>
    </xf>
    <xf numFmtId="169" fontId="4" fillId="3" borderId="1" xfId="1" applyNumberFormat="1" applyFont="1" applyFill="1" applyBorder="1" applyAlignment="1">
      <alignment horizontal="left" vertical="top"/>
    </xf>
    <xf numFmtId="0" fontId="4" fillId="3" borderId="1" xfId="1" applyFont="1" applyFill="1" applyBorder="1"/>
    <xf numFmtId="166" fontId="4" fillId="3" borderId="1" xfId="1" applyNumberFormat="1" applyFont="1" applyFill="1" applyBorder="1"/>
    <xf numFmtId="169" fontId="9" fillId="3" borderId="1" xfId="0" applyNumberFormat="1" applyFont="1" applyFill="1" applyBorder="1" applyAlignment="1">
      <alignment horizontal="left" vertical="top"/>
    </xf>
    <xf numFmtId="0" fontId="8" fillId="0" borderId="8" xfId="1" applyFont="1" applyBorder="1" applyAlignment="1">
      <alignment horizontal="center" vertical="center" wrapText="1"/>
    </xf>
    <xf numFmtId="10" fontId="4" fillId="0" borderId="7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right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/>
    <xf numFmtId="0" fontId="4" fillId="7" borderId="0" xfId="1" applyFont="1" applyFill="1"/>
    <xf numFmtId="0" fontId="6" fillId="6" borderId="5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/>
    </xf>
    <xf numFmtId="0" fontId="8" fillId="0" borderId="3" xfId="1" applyFont="1" applyBorder="1" applyAlignment="1">
      <alignment horizontal="center" vertical="center" wrapText="1"/>
    </xf>
    <xf numFmtId="10" fontId="4" fillId="5" borderId="3" xfId="1" applyNumberFormat="1" applyFont="1" applyFill="1" applyBorder="1" applyAlignment="1">
      <alignment horizontal="center"/>
    </xf>
    <xf numFmtId="10" fontId="4" fillId="0" borderId="1" xfId="1" applyNumberFormat="1" applyFont="1" applyBorder="1" applyAlignment="1">
      <alignment horizontal="center" vertical="center"/>
    </xf>
    <xf numFmtId="170" fontId="4" fillId="0" borderId="1" xfId="5" applyNumberFormat="1" applyFont="1" applyBorder="1"/>
    <xf numFmtId="0" fontId="1" fillId="4" borderId="0" xfId="1" applyFont="1" applyFill="1" applyAlignment="1">
      <alignment horizontal="center" vertical="center"/>
    </xf>
    <xf numFmtId="0" fontId="7" fillId="2" borderId="0" xfId="1" applyFont="1" applyFill="1"/>
    <xf numFmtId="0" fontId="6" fillId="2" borderId="6" xfId="1" applyFont="1" applyFill="1" applyBorder="1" applyAlignment="1">
      <alignment horizontal="center"/>
    </xf>
  </cellXfs>
  <cellStyles count="6">
    <cellStyle name="Comma" xfId="5" builtinId="3"/>
    <cellStyle name="Comma 2" xfId="4" xr:uid="{00000000-0005-0000-0000-000002000000}"/>
    <cellStyle name="Normal" xfId="0" builtinId="0"/>
    <cellStyle name="Normal 2" xfId="1" xr:uid="{00000000-0005-0000-0000-000006000000}"/>
    <cellStyle name="Normal 3" xfId="2" xr:uid="{00000000-0005-0000-0000-000007000000}"/>
    <cellStyle name="Percent 2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V791"/>
  <sheetViews>
    <sheetView tabSelected="1" zoomScale="61" zoomScaleNormal="90" workbookViewId="0">
      <selection activeCell="F13" sqref="F13"/>
    </sheetView>
  </sheetViews>
  <sheetFormatPr defaultColWidth="14" defaultRowHeight="15" customHeight="1" x14ac:dyDescent="0.35"/>
  <cols>
    <col min="1" max="1" width="44.69140625" style="7" bestFit="1" customWidth="1"/>
    <col min="2" max="2" width="18.3046875" style="7" bestFit="1" customWidth="1"/>
    <col min="3" max="3" width="17.15234375" style="7" customWidth="1"/>
    <col min="4" max="4" width="18.53515625" style="7" customWidth="1"/>
    <col min="5" max="5" width="21.69140625" style="7" customWidth="1"/>
    <col min="6" max="6" width="21.3046875" style="7" customWidth="1"/>
    <col min="7" max="10" width="18" style="7" customWidth="1"/>
    <col min="11" max="11" width="20.69140625" style="7" customWidth="1"/>
    <col min="12" max="12" width="21.69140625" style="7" customWidth="1"/>
    <col min="13" max="13" width="17" style="7" bestFit="1" customWidth="1"/>
    <col min="14" max="14" width="8.4609375" style="7" customWidth="1"/>
    <col min="15" max="15" width="13.15234375" style="7" customWidth="1"/>
    <col min="16" max="16" width="15.69140625" style="7" bestFit="1" customWidth="1"/>
    <col min="17" max="17" width="14.84375" style="7" customWidth="1"/>
    <col min="18" max="18" width="11.4609375" style="7" customWidth="1"/>
    <col min="19" max="22" width="8.4609375" style="7" customWidth="1"/>
    <col min="23" max="16384" width="14" style="7"/>
  </cols>
  <sheetData>
    <row r="1" spans="1:22" ht="19.75" x14ac:dyDescent="0.3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1.75" customHeight="1" x14ac:dyDescent="0.35">
      <c r="A2" s="36" t="s">
        <v>1</v>
      </c>
      <c r="B2" s="4"/>
      <c r="C2" s="4"/>
      <c r="D2" s="4"/>
      <c r="E2" s="4"/>
      <c r="F2" s="3"/>
      <c r="G2" s="5"/>
      <c r="H2" s="5"/>
      <c r="I2" s="5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4.299999999999997" customHeight="1" x14ac:dyDescent="0.35">
      <c r="A3" s="18" t="s">
        <v>2</v>
      </c>
      <c r="B3" s="18" t="s">
        <v>3</v>
      </c>
      <c r="C3" s="51" t="s">
        <v>4</v>
      </c>
      <c r="D3" s="18" t="s">
        <v>5</v>
      </c>
      <c r="E3" s="18" t="s">
        <v>6</v>
      </c>
      <c r="F3" s="18" t="s">
        <v>7</v>
      </c>
      <c r="G3" s="43" t="s">
        <v>8</v>
      </c>
      <c r="H3" s="19" t="s">
        <v>9</v>
      </c>
      <c r="I3" s="19" t="s">
        <v>32</v>
      </c>
      <c r="J3" s="19" t="s">
        <v>35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4.25" customHeight="1" x14ac:dyDescent="0.35">
      <c r="A4" s="20">
        <v>30000000</v>
      </c>
      <c r="B4" s="50"/>
      <c r="C4" s="54">
        <v>30000000</v>
      </c>
      <c r="D4" s="22">
        <v>12</v>
      </c>
      <c r="E4" s="21">
        <v>365</v>
      </c>
      <c r="F4" s="52">
        <f>SUM(H4:J4)</f>
        <v>0.02</v>
      </c>
      <c r="G4" s="44">
        <f>F4*12/E4</f>
        <v>6.5753424657534248E-4</v>
      </c>
      <c r="H4" s="46">
        <v>0</v>
      </c>
      <c r="I4" s="53">
        <v>1.6E-2</v>
      </c>
      <c r="J4" s="53">
        <v>4.0000000000000001E-3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4.25" customHeight="1" x14ac:dyDescent="0.35">
      <c r="A5" s="23" t="s">
        <v>10</v>
      </c>
      <c r="B5" s="24"/>
      <c r="C5" s="25">
        <f>-ROUND(IF(C19-C18&lt;C12,PMT(F4*12*30/$E$4,D4-1,C4),PMT(F4*12*30/$E$4,D4,C4)),-3)</f>
        <v>2832000</v>
      </c>
      <c r="D5" s="25"/>
      <c r="E5" s="26" t="s">
        <v>11</v>
      </c>
      <c r="F5" s="26" t="s">
        <v>12</v>
      </c>
      <c r="G5" s="45" t="s">
        <v>13</v>
      </c>
      <c r="H5" s="27"/>
      <c r="I5" s="26"/>
      <c r="J5" s="3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4.25" customHeight="1" x14ac:dyDescent="0.35">
      <c r="A6" s="28"/>
      <c r="B6" s="10"/>
      <c r="C6" s="29"/>
      <c r="D6" s="29"/>
      <c r="E6" s="30"/>
      <c r="F6" s="30"/>
      <c r="G6" s="30"/>
      <c r="H6" s="30"/>
      <c r="I6" s="30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4.25" customHeight="1" x14ac:dyDescent="0.35">
      <c r="A7" s="9" t="s">
        <v>14</v>
      </c>
      <c r="B7" s="10"/>
      <c r="C7" s="17">
        <v>45823</v>
      </c>
      <c r="E7" s="4">
        <f>DAY(C7)</f>
        <v>15</v>
      </c>
      <c r="F7" s="4">
        <f>MONTH(C7)</f>
        <v>6</v>
      </c>
      <c r="G7" s="4">
        <f>YEAR(C7)</f>
        <v>2025</v>
      </c>
      <c r="H7" s="4"/>
      <c r="I7" s="4"/>
    </row>
    <row r="8" spans="1:22" ht="14.25" customHeight="1" x14ac:dyDescent="0.35">
      <c r="A8" s="11" t="s">
        <v>15</v>
      </c>
      <c r="B8" s="2"/>
      <c r="C8" s="7">
        <v>15</v>
      </c>
    </row>
    <row r="9" spans="1:22" ht="14.25" customHeight="1" x14ac:dyDescent="0.35">
      <c r="A9" s="2" t="s">
        <v>16</v>
      </c>
      <c r="B9" s="2"/>
      <c r="C9" s="12">
        <f>DATE(G7,F7,E7)</f>
        <v>45823</v>
      </c>
    </row>
    <row r="10" spans="1:22" ht="14.25" customHeight="1" x14ac:dyDescent="0.35">
      <c r="A10" s="2" t="s">
        <v>17</v>
      </c>
      <c r="B10" s="2"/>
      <c r="C10" s="12">
        <f>DATE(G7,F7,C8)</f>
        <v>45823</v>
      </c>
      <c r="F10" s="37">
        <f>ROUND(PMT(G4*30,D4,C4),-3)</f>
        <v>-2832000</v>
      </c>
    </row>
    <row r="11" spans="1:22" ht="14.25" customHeight="1" x14ac:dyDescent="0.35">
      <c r="A11" s="2" t="s">
        <v>18</v>
      </c>
      <c r="B11" s="2"/>
      <c r="C11" s="13">
        <f>C9-C7</f>
        <v>0</v>
      </c>
    </row>
    <row r="12" spans="1:22" ht="14.25" customHeight="1" x14ac:dyDescent="0.35">
      <c r="A12" s="2" t="s">
        <v>19</v>
      </c>
      <c r="B12" s="2"/>
      <c r="C12" s="13">
        <v>0</v>
      </c>
    </row>
    <row r="13" spans="1:22" ht="14.25" customHeight="1" x14ac:dyDescent="0.35">
      <c r="A13" s="14" t="s">
        <v>20</v>
      </c>
      <c r="B13" s="15"/>
      <c r="C13" s="16">
        <f>IF(C11&lt;$C$12,DATE(G7,F7+1,C8),DATE(G7,F7,C8))</f>
        <v>45823</v>
      </c>
    </row>
    <row r="14" spans="1:22" ht="14.25" customHeight="1" x14ac:dyDescent="0.35">
      <c r="A14" s="14" t="s">
        <v>21</v>
      </c>
      <c r="B14" s="15"/>
      <c r="C14" s="16">
        <f>IF(C10-C7&lt;=0,DATE(YEAR(C10),MONTH(C10)+1,DAY(C10)),DATE(YEAR(C10),MONTH(C10),DAY(C10)))</f>
        <v>45853</v>
      </c>
    </row>
    <row r="15" spans="1:22" ht="14.25" customHeight="1" x14ac:dyDescent="0.35">
      <c r="A15" s="5" t="s">
        <v>22</v>
      </c>
      <c r="B15" s="4"/>
      <c r="C15" s="4">
        <f>C13-C7</f>
        <v>0</v>
      </c>
      <c r="D15" s="7" t="s">
        <v>23</v>
      </c>
    </row>
    <row r="16" spans="1:22" ht="14.25" customHeight="1" x14ac:dyDescent="0.35">
      <c r="B16" s="57" t="s">
        <v>34</v>
      </c>
      <c r="C16" s="57"/>
      <c r="D16" s="57"/>
      <c r="E16" s="57"/>
      <c r="F16" s="57"/>
      <c r="G16" s="57"/>
      <c r="H16" s="57"/>
      <c r="I16" s="57"/>
      <c r="J16" s="57"/>
      <c r="K16" s="47"/>
    </row>
    <row r="17" spans="2:13" ht="14.25" customHeight="1" x14ac:dyDescent="0.35">
      <c r="B17" s="49" t="s">
        <v>24</v>
      </c>
      <c r="C17" s="49" t="s">
        <v>25</v>
      </c>
      <c r="D17" s="49" t="s">
        <v>26</v>
      </c>
      <c r="E17" s="49" t="s">
        <v>27</v>
      </c>
      <c r="F17" s="49" t="s">
        <v>28</v>
      </c>
      <c r="G17" s="49" t="s">
        <v>29</v>
      </c>
      <c r="H17" s="49" t="s">
        <v>32</v>
      </c>
      <c r="I17" s="49" t="s">
        <v>33</v>
      </c>
      <c r="J17" s="49" t="s">
        <v>30</v>
      </c>
      <c r="K17" s="48" t="s">
        <v>31</v>
      </c>
    </row>
    <row r="18" spans="2:13" ht="14.25" customHeight="1" x14ac:dyDescent="0.35">
      <c r="B18" s="31">
        <v>0</v>
      </c>
      <c r="C18" s="32">
        <f>C7</f>
        <v>45823</v>
      </c>
      <c r="D18" s="33"/>
      <c r="E18" s="27">
        <f>G18</f>
        <v>0</v>
      </c>
      <c r="F18" s="27">
        <v>0</v>
      </c>
      <c r="G18" s="27"/>
      <c r="H18" s="27"/>
      <c r="I18" s="27"/>
      <c r="J18" s="27">
        <f>C4</f>
        <v>30000000</v>
      </c>
      <c r="K18" s="34"/>
    </row>
    <row r="19" spans="2:13" ht="14.25" customHeight="1" x14ac:dyDescent="0.35">
      <c r="B19" s="38">
        <f>IFERROR(IF(B18+1&lt;$D$4+1,B18+1,IF(B18+1=$D$4+1,"Tổng","")),"")</f>
        <v>1</v>
      </c>
      <c r="C19" s="39">
        <f>IF(B19&lt;=$D$4,C14,"")</f>
        <v>45853</v>
      </c>
      <c r="D19" s="40">
        <f>IF(C19="","",C19-C18+1)</f>
        <v>31</v>
      </c>
      <c r="E19" s="41">
        <f>IF(B19&lt;=$D$4,F19+G19,"")</f>
        <v>2832000</v>
      </c>
      <c r="F19" s="41">
        <f>IF(C19-C7&lt;20,0,IF(B19&lt;$D$4,$C$5-G19,IF(B19="Tổng",SUM($F$18:F18)," ")))</f>
        <v>2220493.1506849313</v>
      </c>
      <c r="G19" s="41">
        <f>IF(B19&lt;=$D$4,J18*$G$4*D19,IF(B19="Tổng",SUM($G$18:G18),""))</f>
        <v>611506.84931506845</v>
      </c>
      <c r="H19" s="41">
        <f>IF(B19&lt;=$D$4,ROUND(G19*I4/$F$4,0),IF(B19="Tổng",SUM($H$18:H18),""))</f>
        <v>489205</v>
      </c>
      <c r="I19" s="41">
        <f>IF(B19&lt;=$D$4,ROUND(G19*J4/$F$4,0),IF(B19="Tổng",SUM($I$18:I18),""))</f>
        <v>122301</v>
      </c>
      <c r="J19" s="41">
        <f t="shared" ref="J19:J55" si="0">IF(B19&lt;=$D$4,J18-F19,"")</f>
        <v>27779506.84931507</v>
      </c>
      <c r="K19" s="35">
        <f t="shared" ref="K19:K55" si="1">IF(B19&lt;=$D$4,J19*5%,"")</f>
        <v>1388975.3424657537</v>
      </c>
      <c r="L19" s="8"/>
      <c r="M19" s="8"/>
    </row>
    <row r="20" spans="2:13" ht="14.25" customHeight="1" x14ac:dyDescent="0.35">
      <c r="B20" s="38">
        <f t="shared" ref="B20:B55" si="2">IFERROR(IF(B19+1&lt;$D$4+1,B19+1,IF(B19+1=$D$4+1,"Tổng","")),"")</f>
        <v>2</v>
      </c>
      <c r="C20" s="42">
        <f t="shared" ref="C20:C55" si="3">IF(B20&lt;=$D$4,DATE(YEAR(C19),MONTH(C19)+1,DAY(C19)),"")</f>
        <v>45884</v>
      </c>
      <c r="D20" s="40">
        <f>IF(C20="","",C20-C19)</f>
        <v>31</v>
      </c>
      <c r="E20" s="41">
        <f>IF(B20&lt;=$D$4,F20+G20,"")</f>
        <v>2832000</v>
      </c>
      <c r="F20" s="41">
        <f>IF(B20&lt;$D$4,$C$5-G20,IF(B20=$D$4,J19,IF(B20="Tổng",SUM($F$18:F19)," ")))</f>
        <v>2265754.7097016326</v>
      </c>
      <c r="G20" s="41">
        <f>IF(B20&lt;=$D$4,J19*$G$4*D20,IF(B20="Tổng",SUM($G$18:G19),""))</f>
        <v>566245.2902983675</v>
      </c>
      <c r="H20" s="41">
        <f>IF(B20&lt;=$D$4,ROUND(G20*I4/$F$4,0),IF(B20="Tổng",SUM($H$18:H19),""))</f>
        <v>452996</v>
      </c>
      <c r="I20" s="41">
        <f>IF(B20&lt;=$D$4,ROUND(G20*J4/$F$4,0),IF(B20="Tổng",SUM($I$18:I19),""))</f>
        <v>113249</v>
      </c>
      <c r="J20" s="41">
        <f t="shared" si="0"/>
        <v>25513752.139613438</v>
      </c>
      <c r="K20" s="35">
        <f t="shared" si="1"/>
        <v>1275687.6069806721</v>
      </c>
      <c r="L20" s="8"/>
      <c r="M20" s="8"/>
    </row>
    <row r="21" spans="2:13" ht="14.25" customHeight="1" x14ac:dyDescent="0.35">
      <c r="B21" s="38">
        <f t="shared" si="2"/>
        <v>3</v>
      </c>
      <c r="C21" s="42">
        <f t="shared" si="3"/>
        <v>45915</v>
      </c>
      <c r="D21" s="40">
        <f t="shared" ref="D21:D55" si="4">IF(C21="","",C21-C20)</f>
        <v>31</v>
      </c>
      <c r="E21" s="41">
        <f t="shared" ref="E21:E55" si="5">IF(B21&lt;=$D$4,F21+G21,"")</f>
        <v>2832000</v>
      </c>
      <c r="F21" s="41">
        <f>IF(B21&lt;$D$4,$C$5-G21,IF(B21=$D$4,J20,IF(B21="Tổng",SUM($F$18:F20)," ")))</f>
        <v>2311938.8604966467</v>
      </c>
      <c r="G21" s="41">
        <f>IF(B21&lt;=$D$4,J20*$G$4*D21,IF(B21="Tổng",SUM($G$18:G20),""))</f>
        <v>520061.13950335339</v>
      </c>
      <c r="H21" s="41">
        <f>IF(B21&lt;=$D$4,ROUND(G21*I4/$F$4,0),IF(B21="Tổng",SUM($H$18:H20),""))</f>
        <v>416049</v>
      </c>
      <c r="I21" s="41">
        <f>IF(B21&lt;=$D$4,ROUND(G21*J4/$F$4,0),IF(B21="Tổng",SUM($I$18:I20),""))</f>
        <v>104012</v>
      </c>
      <c r="J21" s="41">
        <f t="shared" si="0"/>
        <v>23201813.279116791</v>
      </c>
      <c r="K21" s="35">
        <f t="shared" si="1"/>
        <v>1160090.6639558396</v>
      </c>
      <c r="L21" s="8"/>
      <c r="M21" s="8"/>
    </row>
    <row r="22" spans="2:13" ht="14.25" customHeight="1" x14ac:dyDescent="0.35">
      <c r="B22" s="38">
        <f t="shared" si="2"/>
        <v>4</v>
      </c>
      <c r="C22" s="42">
        <f t="shared" si="3"/>
        <v>45945</v>
      </c>
      <c r="D22" s="40">
        <f t="shared" si="4"/>
        <v>30</v>
      </c>
      <c r="E22" s="41">
        <f t="shared" si="5"/>
        <v>2832000</v>
      </c>
      <c r="F22" s="41">
        <f>IF(B22&lt;$D$4,$C$5-G22,IF(B22=$D$4,J21,IF(B22="Tổng",SUM($F$18:F21)," ")))</f>
        <v>2374320.395590025</v>
      </c>
      <c r="G22" s="41">
        <f>IF(B22&lt;=$D$4,J21*$G$4*D22,IF(B22="Tổng",SUM($G$18:G21),""))</f>
        <v>457679.60440997506</v>
      </c>
      <c r="H22" s="41">
        <f>IF(B22&lt;=$D$4,ROUND(G22*I4/$F$4,0),IF(B22="Tổng",SUM($H$18:H21),""))</f>
        <v>366144</v>
      </c>
      <c r="I22" s="41">
        <f>IF(B22&lt;=$D$4,ROUND(G22*J4/$F$4,0),IF(B22="Tổng",SUM($I$18:I21),""))</f>
        <v>91536</v>
      </c>
      <c r="J22" s="41">
        <f t="shared" si="0"/>
        <v>20827492.883526765</v>
      </c>
      <c r="K22" s="35">
        <f t="shared" si="1"/>
        <v>1041374.6441763383</v>
      </c>
      <c r="L22" s="8"/>
      <c r="M22" s="8"/>
    </row>
    <row r="23" spans="2:13" ht="14.25" customHeight="1" x14ac:dyDescent="0.35">
      <c r="B23" s="38">
        <f t="shared" si="2"/>
        <v>5</v>
      </c>
      <c r="C23" s="42">
        <f t="shared" si="3"/>
        <v>45976</v>
      </c>
      <c r="D23" s="40">
        <f t="shared" si="4"/>
        <v>31</v>
      </c>
      <c r="E23" s="41">
        <f t="shared" si="5"/>
        <v>2832000</v>
      </c>
      <c r="F23" s="41">
        <f>IF(B23&lt;$D$4,$C$5-G23,IF(B23=$D$4,J22,IF(B23="Tổng",SUM($F$18:F22)," ")))</f>
        <v>2407461.5149220848</v>
      </c>
      <c r="G23" s="41">
        <f>IF(B23&lt;=$D$4,J22*$G$4*D23,IF(B23="Tổng",SUM($G$18:G22),""))</f>
        <v>424538.48507791542</v>
      </c>
      <c r="H23" s="41">
        <f>IF(B23&lt;=$D$4,ROUND(G23*I4/$F$4,0),IF(B23="Tổng",SUM($H$18:H22),""))</f>
        <v>339631</v>
      </c>
      <c r="I23" s="41">
        <f>IF(B23&lt;=$D$4,ROUND(G23*J4/$F$4,0),IF(B23="Tổng",SUM($I$18:I22),""))</f>
        <v>84908</v>
      </c>
      <c r="J23" s="41">
        <f t="shared" si="0"/>
        <v>18420031.368604679</v>
      </c>
      <c r="K23" s="35">
        <f t="shared" si="1"/>
        <v>921001.56843023398</v>
      </c>
      <c r="L23" s="8"/>
      <c r="M23" s="8"/>
    </row>
    <row r="24" spans="2:13" ht="14.25" customHeight="1" x14ac:dyDescent="0.35">
      <c r="B24" s="38">
        <f t="shared" si="2"/>
        <v>6</v>
      </c>
      <c r="C24" s="42">
        <f t="shared" si="3"/>
        <v>46006</v>
      </c>
      <c r="D24" s="40">
        <f t="shared" si="4"/>
        <v>30</v>
      </c>
      <c r="E24" s="41">
        <f t="shared" si="5"/>
        <v>2832000</v>
      </c>
      <c r="F24" s="41">
        <f>IF(B24&lt;$D$4,$C$5-G24,IF(B24=$D$4,J23,IF(B24="Tổng",SUM($F$18:F23)," ")))</f>
        <v>2468645.9565645102</v>
      </c>
      <c r="G24" s="41">
        <f>IF(B24&lt;=$D$4,J23*$G$4*D24,IF(B24="Tổng",SUM($G$18:G23),""))</f>
        <v>363354.04343548953</v>
      </c>
      <c r="H24" s="41">
        <f>IF(B24&lt;=$D$4,ROUND(G24*I4/$F$4,0),IF(B24="Tổng",SUM($H$18:H23),""))</f>
        <v>290683</v>
      </c>
      <c r="I24" s="41">
        <f>IF(B24&lt;=$D$4,ROUND(G24*J4/$F$4,0),IF(B24="Tổng",SUM($I$18:I23),""))</f>
        <v>72671</v>
      </c>
      <c r="J24" s="41">
        <f t="shared" si="0"/>
        <v>15951385.412040168</v>
      </c>
      <c r="K24" s="35">
        <f t="shared" si="1"/>
        <v>797569.27060200844</v>
      </c>
      <c r="L24" s="8"/>
      <c r="M24" s="8"/>
    </row>
    <row r="25" spans="2:13" ht="14.25" customHeight="1" x14ac:dyDescent="0.35">
      <c r="B25" s="38">
        <f t="shared" si="2"/>
        <v>7</v>
      </c>
      <c r="C25" s="42">
        <f t="shared" si="3"/>
        <v>46037</v>
      </c>
      <c r="D25" s="40">
        <f t="shared" si="4"/>
        <v>31</v>
      </c>
      <c r="E25" s="41">
        <f t="shared" si="5"/>
        <v>2832000</v>
      </c>
      <c r="F25" s="41">
        <f>IF(B25&lt;$D$4,$C$5-G25,IF(B25=$D$4,J24,IF(B25="Tổng",SUM($F$18:F24)," ")))</f>
        <v>2506853.9521490992</v>
      </c>
      <c r="G25" s="41">
        <f>IF(B25&lt;=$D$4,J24*$G$4*D25,IF(B25="Tổng",SUM($G$18:G24),""))</f>
        <v>325146.04785090097</v>
      </c>
      <c r="H25" s="41">
        <f>IF(B25&lt;=$D$4,ROUND(G25*I4/$F$4,0),IF(B25="Tổng",SUM($H$18:H24),""))</f>
        <v>260117</v>
      </c>
      <c r="I25" s="41">
        <f>IF(B25&lt;=$D$4,ROUND(G25*J4/$F$4,0),IF(B25="Tổng",SUM($I$18:I24),""))</f>
        <v>65029</v>
      </c>
      <c r="J25" s="41">
        <f t="shared" si="0"/>
        <v>13444531.45989107</v>
      </c>
      <c r="K25" s="35">
        <f t="shared" si="1"/>
        <v>672226.57299455348</v>
      </c>
      <c r="L25" s="8"/>
      <c r="M25" s="8"/>
    </row>
    <row r="26" spans="2:13" ht="14.25" customHeight="1" x14ac:dyDescent="0.35">
      <c r="B26" s="38">
        <f t="shared" si="2"/>
        <v>8</v>
      </c>
      <c r="C26" s="42">
        <f t="shared" si="3"/>
        <v>46068</v>
      </c>
      <c r="D26" s="40">
        <f t="shared" si="4"/>
        <v>31</v>
      </c>
      <c r="E26" s="41">
        <f t="shared" si="5"/>
        <v>2832000</v>
      </c>
      <c r="F26" s="41">
        <f>IF(B26&lt;$D$4,$C$5-G26,IF(B26=$D$4,J25,IF(B26="Tổng",SUM($F$18:F25)," ")))</f>
        <v>2557952.5642148233</v>
      </c>
      <c r="G26" s="41">
        <f>IF(B26&lt;=$D$4,J25*$G$4*D26,IF(B26="Tổng",SUM($G$18:G25),""))</f>
        <v>274047.43578517687</v>
      </c>
      <c r="H26" s="41">
        <f>IF(B26&lt;=$D$4,ROUND(G26*I4/$F$4,0),IF(B26="Tổng",SUM($H$18:H25),""))</f>
        <v>219238</v>
      </c>
      <c r="I26" s="41">
        <f>IF(B26&lt;=$D$4,ROUND(G26*J4/$F$4,0),IF(B26="Tổng",SUM($I$18:I25),""))</f>
        <v>54809</v>
      </c>
      <c r="J26" s="41">
        <f t="shared" si="0"/>
        <v>10886578.895676246</v>
      </c>
      <c r="K26" s="35">
        <f t="shared" si="1"/>
        <v>544328.94478381227</v>
      </c>
      <c r="L26" s="8"/>
      <c r="M26" s="8"/>
    </row>
    <row r="27" spans="2:13" ht="14.25" customHeight="1" x14ac:dyDescent="0.35">
      <c r="B27" s="38">
        <f t="shared" si="2"/>
        <v>9</v>
      </c>
      <c r="C27" s="42">
        <f t="shared" si="3"/>
        <v>46096</v>
      </c>
      <c r="D27" s="40">
        <f t="shared" si="4"/>
        <v>28</v>
      </c>
      <c r="E27" s="41">
        <f t="shared" si="5"/>
        <v>2832000</v>
      </c>
      <c r="F27" s="41">
        <f>IF(B27&lt;$D$4,$C$5-G27,IF(B27=$D$4,J26,IF(B27="Tổng",SUM($F$18:F26)," ")))</f>
        <v>2631567.6433453579</v>
      </c>
      <c r="G27" s="41">
        <f>IF(B27&lt;=$D$4,J26*$G$4*D27,IF(B27="Tổng",SUM($G$18:G26),""))</f>
        <v>200432.35665464212</v>
      </c>
      <c r="H27" s="41">
        <f>IF(B27&lt;=$D$4,ROUND(G27*I4/$F$4,0),IF(B27="Tổng",SUM($H$18:H26),""))</f>
        <v>160346</v>
      </c>
      <c r="I27" s="41">
        <f>IF(B27&lt;=$D$4,ROUND(G27*J4/$F$4,0),IF(B27="Tổng",SUM($I$18:I26),""))</f>
        <v>40086</v>
      </c>
      <c r="J27" s="41">
        <f t="shared" si="0"/>
        <v>8255011.2523308881</v>
      </c>
      <c r="K27" s="35">
        <f t="shared" si="1"/>
        <v>412750.56261654443</v>
      </c>
      <c r="L27" s="8"/>
      <c r="M27" s="8"/>
    </row>
    <row r="28" spans="2:13" ht="14.25" customHeight="1" x14ac:dyDescent="0.35">
      <c r="B28" s="38">
        <f t="shared" si="2"/>
        <v>10</v>
      </c>
      <c r="C28" s="42">
        <f t="shared" si="3"/>
        <v>46127</v>
      </c>
      <c r="D28" s="40">
        <f t="shared" si="4"/>
        <v>31</v>
      </c>
      <c r="E28" s="41">
        <f t="shared" si="5"/>
        <v>2832000</v>
      </c>
      <c r="F28" s="41">
        <f>IF(B28&lt;$D$4,$C$5-G28,IF(B28=$D$4,J27,IF(B28="Tổng",SUM($F$18:F27)," ")))</f>
        <v>2663733.4692675569</v>
      </c>
      <c r="G28" s="41">
        <f>IF(B28&lt;=$D$4,J27*$G$4*D28,IF(B28="Tổng",SUM($G$18:G27),""))</f>
        <v>168266.53073244329</v>
      </c>
      <c r="H28" s="41">
        <f>IF(B28&lt;=$D$4,ROUND(G28*I4/$F$4,0),IF(B28="Tổng",SUM($H$18:H27),""))</f>
        <v>134613</v>
      </c>
      <c r="I28" s="41">
        <f>IF(B28&lt;=$D$4,ROUND(G28*J4/$F$4,0),IF(B28="Tổng",SUM($I$18:I27),""))</f>
        <v>33653</v>
      </c>
      <c r="J28" s="41">
        <f t="shared" si="0"/>
        <v>5591277.7830633316</v>
      </c>
      <c r="K28" s="35">
        <f t="shared" si="1"/>
        <v>279563.88915316662</v>
      </c>
      <c r="L28" s="8"/>
      <c r="M28" s="8"/>
    </row>
    <row r="29" spans="2:13" ht="14.25" customHeight="1" x14ac:dyDescent="0.35">
      <c r="B29" s="38">
        <f t="shared" si="2"/>
        <v>11</v>
      </c>
      <c r="C29" s="42">
        <f t="shared" si="3"/>
        <v>46157</v>
      </c>
      <c r="D29" s="40">
        <f t="shared" si="4"/>
        <v>30</v>
      </c>
      <c r="E29" s="41">
        <f t="shared" si="5"/>
        <v>2832000</v>
      </c>
      <c r="F29" s="41">
        <f>IF(B29&lt;$D$4,$C$5-G29,IF(B29=$D$4,J28,IF(B29="Tổng",SUM($F$18:F28)," ")))</f>
        <v>2721706.3012656001</v>
      </c>
      <c r="G29" s="41">
        <f>IF(B29&lt;=$D$4,J28*$G$4*D29,IF(B29="Tổng",SUM($G$18:G28),""))</f>
        <v>110293.69873439996</v>
      </c>
      <c r="H29" s="41">
        <f>IF(B29&lt;=$D$4,ROUND(G29*I4/$F$4,0),IF(B29="Tổng",SUM($H$18:H28),""))</f>
        <v>88235</v>
      </c>
      <c r="I29" s="41">
        <f>IF(B29&lt;=$D$4,ROUND(G29*J4/$F$4,0),IF(B29="Tổng",SUM($I$18:I28),""))</f>
        <v>22059</v>
      </c>
      <c r="J29" s="41">
        <f t="shared" si="0"/>
        <v>2869571.4817977315</v>
      </c>
      <c r="K29" s="35">
        <f t="shared" si="1"/>
        <v>143478.57408988659</v>
      </c>
      <c r="L29" s="8"/>
      <c r="M29" s="8"/>
    </row>
    <row r="30" spans="2:13" ht="14.25" customHeight="1" x14ac:dyDescent="0.35">
      <c r="B30" s="38">
        <f t="shared" si="2"/>
        <v>12</v>
      </c>
      <c r="C30" s="42">
        <f t="shared" si="3"/>
        <v>46188</v>
      </c>
      <c r="D30" s="40">
        <f t="shared" si="4"/>
        <v>31</v>
      </c>
      <c r="E30" s="41">
        <f t="shared" si="5"/>
        <v>2928063.5689883484</v>
      </c>
      <c r="F30" s="41">
        <f>IF(B30&lt;$D$4,$C$5-G30,IF(B30=$D$4,J29,IF(B30="Tổng",SUM($F$18:F29)," ")))</f>
        <v>2869571.4817977315</v>
      </c>
      <c r="G30" s="41">
        <f>IF(B30&lt;=$D$4,J29*$G$4*D30,IF(B30="Tổng",SUM($G$18:G29),""))</f>
        <v>58492.087190616774</v>
      </c>
      <c r="H30" s="41">
        <f>IF(B30&lt;=$D$4,ROUND(G30*I4/$F$4,0),IF(B30="Tổng",SUM($H$18:H29),""))</f>
        <v>46794</v>
      </c>
      <c r="I30" s="41">
        <f>IF(B30&lt;=$D$4,ROUND(G30*J4/$F$4,0),IF(B30="Tổng",SUM($I$18:I29),""))</f>
        <v>11698</v>
      </c>
      <c r="J30" s="41">
        <f t="shared" si="0"/>
        <v>0</v>
      </c>
      <c r="K30" s="35">
        <f t="shared" si="1"/>
        <v>0</v>
      </c>
      <c r="L30" s="8"/>
      <c r="M30" s="8"/>
    </row>
    <row r="31" spans="2:13" ht="14.25" customHeight="1" x14ac:dyDescent="0.35">
      <c r="B31" s="38" t="str">
        <f t="shared" si="2"/>
        <v>Tổng</v>
      </c>
      <c r="C31" s="42" t="str">
        <f t="shared" si="3"/>
        <v/>
      </c>
      <c r="D31" s="40">
        <f>SUM(D19:D30)</f>
        <v>366</v>
      </c>
      <c r="E31" s="41" t="str">
        <f t="shared" si="5"/>
        <v/>
      </c>
      <c r="F31" s="41">
        <f>IF(B31&lt;$D$4,$C$5-G31,IF(B31=$D$4,J30,IF(B31="Tổng",SUM($F$18:F30)," ")))</f>
        <v>30000000</v>
      </c>
      <c r="G31" s="41">
        <f>IF(B31&lt;=$D$4,J30*$G$4*D31,IF(B31="Tổng",SUM($G$18:G30),""))</f>
        <v>4080063.5689883488</v>
      </c>
      <c r="H31" s="41">
        <f>IF(B31&lt;=$D$4,ROUND(G31*I4/$F$4,0),IF(B31="Tổng",SUM($H$18:H30),""))</f>
        <v>3264051</v>
      </c>
      <c r="I31" s="41">
        <f>IF(B31&lt;=$D$4,ROUND(G31*J4/$F$4,0),IF(B31="Tổng",SUM($I$18:I30),""))</f>
        <v>816011</v>
      </c>
      <c r="J31" s="41" t="str">
        <f t="shared" si="0"/>
        <v/>
      </c>
      <c r="K31" s="35" t="str">
        <f t="shared" si="1"/>
        <v/>
      </c>
      <c r="L31" s="8"/>
      <c r="M31" s="8"/>
    </row>
    <row r="32" spans="2:13" ht="14.25" customHeight="1" x14ac:dyDescent="0.35">
      <c r="B32" s="38" t="str">
        <f t="shared" si="2"/>
        <v/>
      </c>
      <c r="C32" s="42" t="str">
        <f t="shared" si="3"/>
        <v/>
      </c>
      <c r="D32" s="40" t="str">
        <f t="shared" si="4"/>
        <v/>
      </c>
      <c r="E32" s="41" t="str">
        <f t="shared" si="5"/>
        <v/>
      </c>
      <c r="F32" s="41" t="str">
        <f>IF(B32&lt;$D$4,$C$5-G32,IF(B32=$D$4,J31,IF(B32="Tổng",SUM($F$18:F31)," ")))</f>
        <v xml:space="preserve"> </v>
      </c>
      <c r="G32" s="41" t="str">
        <f>IF(B32&lt;=$D$4,J31*$G$4*D32,IF(B32="Tổng",SUM($G$18:G31),""))</f>
        <v/>
      </c>
      <c r="H32" s="41" t="str">
        <f>IF(B32&lt;=$D$4,ROUND(G32*I4/$F$4,0),IF(B32="Tổng",SUM($H$18:H31),""))</f>
        <v/>
      </c>
      <c r="I32" s="41" t="str">
        <f>IF(B32&lt;=$D$4,ROUND(G32*1.4%/$F$4,0),IF(B32="Tổng",SUM($I$18:I31),""))</f>
        <v/>
      </c>
      <c r="J32" s="41" t="str">
        <f t="shared" si="0"/>
        <v/>
      </c>
      <c r="K32" s="35" t="str">
        <f t="shared" si="1"/>
        <v/>
      </c>
      <c r="L32" s="8"/>
      <c r="M32" s="8"/>
    </row>
    <row r="33" spans="2:13" ht="14.25" customHeight="1" x14ac:dyDescent="0.35">
      <c r="B33" s="38" t="str">
        <f t="shared" si="2"/>
        <v/>
      </c>
      <c r="C33" s="42" t="str">
        <f t="shared" si="3"/>
        <v/>
      </c>
      <c r="D33" s="40" t="str">
        <f t="shared" si="4"/>
        <v/>
      </c>
      <c r="E33" s="41" t="str">
        <f t="shared" si="5"/>
        <v/>
      </c>
      <c r="F33" s="41" t="str">
        <f>IF(B33&lt;$D$4,$C$5-G33,IF(B33=$D$4,J32,IF(B33="Tổng",SUM($F$18:F32)," ")))</f>
        <v xml:space="preserve"> </v>
      </c>
      <c r="G33" s="41" t="str">
        <f>IF(B33&lt;=$D$4,J32*$G$4*D33,IF(B33="Tổng",SUM($G$18:G32),""))</f>
        <v/>
      </c>
      <c r="H33" s="41" t="str">
        <f>IF(B33&lt;=$D$4,ROUND(G33*I4/$F$4,0),IF(B33="Tổng",SUM($H$18:H32),""))</f>
        <v/>
      </c>
      <c r="I33" s="41" t="str">
        <f>IF(B33&lt;=$D$4,ROUND(G33*1.4%/$F$4,0),IF(B33="Tổng",SUM($I$18:I32),""))</f>
        <v/>
      </c>
      <c r="J33" s="41" t="str">
        <f t="shared" si="0"/>
        <v/>
      </c>
      <c r="K33" s="35" t="str">
        <f t="shared" si="1"/>
        <v/>
      </c>
      <c r="L33" s="8" t="str">
        <f t="shared" ref="L33:L54" si="6">IF(B33&lt;=$D$4,G33,"")</f>
        <v/>
      </c>
      <c r="M33" s="8"/>
    </row>
    <row r="34" spans="2:13" ht="14.25" customHeight="1" x14ac:dyDescent="0.35">
      <c r="B34" s="38" t="str">
        <f t="shared" si="2"/>
        <v/>
      </c>
      <c r="C34" s="42" t="str">
        <f t="shared" si="3"/>
        <v/>
      </c>
      <c r="D34" s="40" t="str">
        <f t="shared" si="4"/>
        <v/>
      </c>
      <c r="E34" s="41" t="str">
        <f t="shared" si="5"/>
        <v/>
      </c>
      <c r="F34" s="41" t="str">
        <f>IF(B34&lt;$D$4,$C$5-G34,IF(B34=$D$4,J33,IF(B34="Tổng",SUM($F$18:F33)," ")))</f>
        <v xml:space="preserve"> </v>
      </c>
      <c r="G34" s="41" t="str">
        <f>IF(B34&lt;=$D$4,J33*$G$4*D34,IF(B34="Tổng",SUM($G$18:G33),""))</f>
        <v/>
      </c>
      <c r="H34" s="41" t="str">
        <f>IF(B34&lt;=$D$4,ROUND(G34*I4/$F$4,0),IF(B34="Tổng",SUM($H$18:H33),""))</f>
        <v/>
      </c>
      <c r="I34" s="41" t="str">
        <f>IF(B34&lt;=$D$4,ROUND(G34*1.4%/$F$4,0),IF(B34="Tổng",SUM($I$18:I33),""))</f>
        <v/>
      </c>
      <c r="J34" s="41" t="str">
        <f t="shared" si="0"/>
        <v/>
      </c>
      <c r="K34" s="35" t="str">
        <f t="shared" si="1"/>
        <v/>
      </c>
      <c r="L34" s="8" t="str">
        <f t="shared" si="6"/>
        <v/>
      </c>
      <c r="M34" s="8"/>
    </row>
    <row r="35" spans="2:13" ht="14.25" customHeight="1" x14ac:dyDescent="0.35">
      <c r="B35" s="38" t="str">
        <f t="shared" si="2"/>
        <v/>
      </c>
      <c r="C35" s="42" t="str">
        <f t="shared" si="3"/>
        <v/>
      </c>
      <c r="D35" s="40" t="str">
        <f t="shared" si="4"/>
        <v/>
      </c>
      <c r="E35" s="41" t="str">
        <f t="shared" si="5"/>
        <v/>
      </c>
      <c r="F35" s="41" t="str">
        <f>IF(B35&lt;$D$4,$C$5-G35,IF(B35=$D$4,J34,IF(B35="Tổng",SUM($F$18:F34)," ")))</f>
        <v xml:space="preserve"> </v>
      </c>
      <c r="G35" s="41" t="str">
        <f>IF(B35&lt;=$D$4,J34*$G$4*D35,IF(B35="Tổng",SUM($G$18:G34),""))</f>
        <v/>
      </c>
      <c r="H35" s="41" t="str">
        <f>IF(B35&lt;=$D$4,ROUND(G35*I4/$F$4,0),IF(B35="Tổng",SUM($H$18:H34),""))</f>
        <v/>
      </c>
      <c r="I35" s="41" t="str">
        <f>IF(B35&lt;=$D$4,ROUND(G35*1.4%/$F$4,0),IF(B35="Tổng",SUM($I$18:I34),""))</f>
        <v/>
      </c>
      <c r="J35" s="41" t="str">
        <f t="shared" si="0"/>
        <v/>
      </c>
      <c r="K35" s="35" t="str">
        <f t="shared" si="1"/>
        <v/>
      </c>
      <c r="L35" s="8" t="str">
        <f t="shared" si="6"/>
        <v/>
      </c>
      <c r="M35" s="8"/>
    </row>
    <row r="36" spans="2:13" ht="14.25" customHeight="1" x14ac:dyDescent="0.35">
      <c r="B36" s="38" t="str">
        <f t="shared" si="2"/>
        <v/>
      </c>
      <c r="C36" s="42" t="str">
        <f t="shared" si="3"/>
        <v/>
      </c>
      <c r="D36" s="40" t="str">
        <f t="shared" si="4"/>
        <v/>
      </c>
      <c r="E36" s="41" t="str">
        <f t="shared" si="5"/>
        <v/>
      </c>
      <c r="F36" s="41" t="str">
        <f>IF(B36&lt;$D$4,$C$5-G36,IF(B36=$D$4,J35,IF(B36="Tổng",SUM($F$18:F35)," ")))</f>
        <v xml:space="preserve"> </v>
      </c>
      <c r="G36" s="41" t="str">
        <f>IF(B36&lt;=$D$4,J35*$G$4*D36,IF(B36="Tổng",SUM($G$18:G35),""))</f>
        <v/>
      </c>
      <c r="H36" s="41" t="str">
        <f>IF(B36&lt;=$D$4,ROUND(G36*I4/$F$4,0),IF(B36="Tổng",SUM($H$18:H35),""))</f>
        <v/>
      </c>
      <c r="I36" s="41" t="str">
        <f>IF(B36&lt;=$D$4,ROUND(G36*1.4%/$F$4,0),IF(B36="Tổng",SUM($I$18:I35),""))</f>
        <v/>
      </c>
      <c r="J36" s="41" t="str">
        <f t="shared" si="0"/>
        <v/>
      </c>
      <c r="K36" s="35" t="str">
        <f t="shared" si="1"/>
        <v/>
      </c>
      <c r="L36" s="8" t="str">
        <f t="shared" si="6"/>
        <v/>
      </c>
      <c r="M36" s="8" t="str">
        <f t="shared" ref="M36:M54" si="7">IF(B36&lt;=$D$4,K36+L36,"")</f>
        <v/>
      </c>
    </row>
    <row r="37" spans="2:13" ht="14.25" customHeight="1" x14ac:dyDescent="0.35">
      <c r="B37" s="38" t="str">
        <f t="shared" si="2"/>
        <v/>
      </c>
      <c r="C37" s="42" t="str">
        <f t="shared" si="3"/>
        <v/>
      </c>
      <c r="D37" s="40" t="str">
        <f t="shared" si="4"/>
        <v/>
      </c>
      <c r="E37" s="41" t="str">
        <f t="shared" si="5"/>
        <v/>
      </c>
      <c r="F37" s="41" t="str">
        <f>IF(B37&lt;$D$4,$C$5-G37,IF(B37=$D$4,J36,IF(B37="Tổng",SUM($F$18:F36)," ")))</f>
        <v xml:space="preserve"> </v>
      </c>
      <c r="G37" s="41" t="str">
        <f>IF(B37&lt;=$D$4,J36*$G$4*D37,IF(B37="Tổng",SUM($G$18:G36),""))</f>
        <v/>
      </c>
      <c r="H37" s="41" t="str">
        <f>IF(B37&lt;=$D$4,ROUND(G37*I4/$F$4,0),IF(B37="Tổng",SUM($H$18:H36),""))</f>
        <v/>
      </c>
      <c r="I37" s="41" t="str">
        <f>IF(B37&lt;=$D$4,ROUND(G37*1.4%/$F$4,0),IF(B37="Tổng",SUM($I$18:I36),""))</f>
        <v/>
      </c>
      <c r="J37" s="41" t="str">
        <f t="shared" si="0"/>
        <v/>
      </c>
      <c r="K37" s="35" t="str">
        <f t="shared" si="1"/>
        <v/>
      </c>
      <c r="L37" s="8" t="str">
        <f t="shared" si="6"/>
        <v/>
      </c>
      <c r="M37" s="8" t="str">
        <f t="shared" si="7"/>
        <v/>
      </c>
    </row>
    <row r="38" spans="2:13" ht="14.25" customHeight="1" x14ac:dyDescent="0.35">
      <c r="B38" s="38" t="str">
        <f t="shared" si="2"/>
        <v/>
      </c>
      <c r="C38" s="42" t="str">
        <f t="shared" si="3"/>
        <v/>
      </c>
      <c r="D38" s="40" t="str">
        <f t="shared" si="4"/>
        <v/>
      </c>
      <c r="E38" s="41" t="str">
        <f t="shared" si="5"/>
        <v/>
      </c>
      <c r="F38" s="41" t="str">
        <f>IF(B38&lt;$D$4,$C$5-G38,IF(B38=$D$4,J37,IF(B38="Tổng",SUM($F$18:F37)," ")))</f>
        <v xml:space="preserve"> </v>
      </c>
      <c r="G38" s="41" t="str">
        <f>IF(B38&lt;=$D$4,J37*$G$4*D38,IF(B38="Tổng",SUM($G$18:G37),""))</f>
        <v/>
      </c>
      <c r="H38" s="41" t="str">
        <f>IF(B38&lt;=$D$4,ROUND(G38*I4/$F$4,0),IF(B38="Tổng",SUM($H$18:H37),""))</f>
        <v/>
      </c>
      <c r="I38" s="41" t="str">
        <f>IF(B38&lt;=$D$4,ROUND(G38*1.4%/$F$4,0),IF(B38="Tổng",SUM($I$18:I37),""))</f>
        <v/>
      </c>
      <c r="J38" s="41" t="str">
        <f t="shared" si="0"/>
        <v/>
      </c>
      <c r="K38" s="35" t="str">
        <f t="shared" si="1"/>
        <v/>
      </c>
      <c r="L38" s="8" t="str">
        <f t="shared" si="6"/>
        <v/>
      </c>
      <c r="M38" s="8" t="str">
        <f t="shared" si="7"/>
        <v/>
      </c>
    </row>
    <row r="39" spans="2:13" ht="14.25" customHeight="1" x14ac:dyDescent="0.35">
      <c r="B39" s="38" t="str">
        <f t="shared" si="2"/>
        <v/>
      </c>
      <c r="C39" s="42" t="str">
        <f t="shared" si="3"/>
        <v/>
      </c>
      <c r="D39" s="40" t="str">
        <f t="shared" si="4"/>
        <v/>
      </c>
      <c r="E39" s="41" t="str">
        <f t="shared" si="5"/>
        <v/>
      </c>
      <c r="F39" s="41" t="str">
        <f>IF(B39&lt;$D$4,$C$5-G39,IF(B39=$D$4,J38,IF(B39="Tổng",SUM($F$18:F38)," ")))</f>
        <v xml:space="preserve"> </v>
      </c>
      <c r="G39" s="41" t="str">
        <f>IF(B39&lt;=$D$4,J38*$G$4*D39,IF(B39="Tổng",SUM($G$18:G38),""))</f>
        <v/>
      </c>
      <c r="H39" s="41" t="str">
        <f>IF(B39&lt;=$D$4,ROUND(G39*I4/$F$4,0),IF(B39="Tổng",SUM($H$18:H38),""))</f>
        <v/>
      </c>
      <c r="I39" s="41" t="str">
        <f>IF(B39&lt;=$D$4,ROUND(G39*1.4%/$F$4,0),IF(B39="Tổng",SUM($I$18:I38),""))</f>
        <v/>
      </c>
      <c r="J39" s="41" t="str">
        <f t="shared" si="0"/>
        <v/>
      </c>
      <c r="K39" s="35" t="str">
        <f t="shared" si="1"/>
        <v/>
      </c>
      <c r="L39" s="8" t="str">
        <f t="shared" si="6"/>
        <v/>
      </c>
      <c r="M39" s="8" t="str">
        <f t="shared" si="7"/>
        <v/>
      </c>
    </row>
    <row r="40" spans="2:13" ht="14.25" customHeight="1" x14ac:dyDescent="0.35">
      <c r="B40" s="38" t="str">
        <f t="shared" si="2"/>
        <v/>
      </c>
      <c r="C40" s="42" t="str">
        <f t="shared" si="3"/>
        <v/>
      </c>
      <c r="D40" s="40" t="str">
        <f t="shared" si="4"/>
        <v/>
      </c>
      <c r="E40" s="41" t="str">
        <f t="shared" si="5"/>
        <v/>
      </c>
      <c r="F40" s="41" t="str">
        <f>IF(B40&lt;$D$4,$C$5-G40,IF(B40=$D$4,J39,IF(B40="Tổng",SUM($F$18:F39)," ")))</f>
        <v xml:space="preserve"> </v>
      </c>
      <c r="G40" s="41" t="str">
        <f>IF(B40&lt;=$D$4,J39*$G$4*D40,IF(B40="Tổng",SUM($G$18:G39),""))</f>
        <v/>
      </c>
      <c r="H40" s="41" t="str">
        <f>IF(B40&lt;=$D$4,ROUND(G40*1.6%/$F$4,0),IF(B40="Tổng",SUM($H$18:H39),""))</f>
        <v/>
      </c>
      <c r="I40" s="41" t="str">
        <f>IF(B40&lt;=$D$4,ROUND(G40*1.4%/$F$4,0),IF(B40="Tổng",SUM($I$18:I39),""))</f>
        <v/>
      </c>
      <c r="J40" s="41" t="str">
        <f t="shared" si="0"/>
        <v/>
      </c>
      <c r="K40" s="35" t="str">
        <f t="shared" si="1"/>
        <v/>
      </c>
      <c r="L40" s="8" t="str">
        <f t="shared" si="6"/>
        <v/>
      </c>
      <c r="M40" s="8" t="str">
        <f t="shared" si="7"/>
        <v/>
      </c>
    </row>
    <row r="41" spans="2:13" ht="14.25" customHeight="1" x14ac:dyDescent="0.35">
      <c r="B41" s="38" t="str">
        <f t="shared" si="2"/>
        <v/>
      </c>
      <c r="C41" s="42" t="str">
        <f t="shared" si="3"/>
        <v/>
      </c>
      <c r="D41" s="40" t="str">
        <f t="shared" si="4"/>
        <v/>
      </c>
      <c r="E41" s="41" t="str">
        <f t="shared" si="5"/>
        <v/>
      </c>
      <c r="F41" s="41" t="str">
        <f>IF(B41&lt;$D$4,$C$5-G41,IF(B41=$D$4,J40,IF(B41="Tổng",SUM($F$18:F40)," ")))</f>
        <v xml:space="preserve"> </v>
      </c>
      <c r="G41" s="41" t="str">
        <f>IF(B41&lt;=$D$4,J40*$G$4*D41,IF(B41="Tổng",SUM($G$18:G40),""))</f>
        <v/>
      </c>
      <c r="H41" s="41" t="str">
        <f>IF(B41&lt;=$D$4,ROUND(G41*1.6%/$F$4,0),IF(B41="Tổng",SUM($H$18:H40),""))</f>
        <v/>
      </c>
      <c r="I41" s="41" t="str">
        <f>IF(B41&lt;=$D$4,ROUND(G41*1.4%/$F$4,0),IF(B41="Tổng",SUM($I$18:I40),""))</f>
        <v/>
      </c>
      <c r="J41" s="41" t="str">
        <f t="shared" si="0"/>
        <v/>
      </c>
      <c r="K41" s="35" t="str">
        <f t="shared" si="1"/>
        <v/>
      </c>
      <c r="L41" s="8" t="str">
        <f t="shared" si="6"/>
        <v/>
      </c>
      <c r="M41" s="8" t="str">
        <f t="shared" si="7"/>
        <v/>
      </c>
    </row>
    <row r="42" spans="2:13" ht="14.25" customHeight="1" x14ac:dyDescent="0.35">
      <c r="B42" s="38" t="str">
        <f t="shared" si="2"/>
        <v/>
      </c>
      <c r="C42" s="42" t="str">
        <f t="shared" si="3"/>
        <v/>
      </c>
      <c r="D42" s="40" t="str">
        <f t="shared" si="4"/>
        <v/>
      </c>
      <c r="E42" s="41" t="str">
        <f t="shared" si="5"/>
        <v/>
      </c>
      <c r="F42" s="41" t="str">
        <f>IF(B42&lt;$D$4,$C$5-G42,IF(B42=$D$4,J41,IF(B42="Tổng",SUM($F$18:F41)," ")))</f>
        <v xml:space="preserve"> </v>
      </c>
      <c r="G42" s="41" t="str">
        <f>IF(B42&lt;=$D$4,J41*$G$4*D42,IF(B42="Tổng",SUM($G$18:G41),""))</f>
        <v/>
      </c>
      <c r="H42" s="41" t="str">
        <f>IF(B42&lt;=$D$4,ROUND(G42*1.6%/$F$4,0),IF(B42="Tổng",SUM($H$18:H41),""))</f>
        <v/>
      </c>
      <c r="I42" s="41" t="str">
        <f>IF(B42&lt;=$D$4,ROUND(G42*1.4%/$F$4,0),IF(B42="Tổng",SUM($I$18:I41),""))</f>
        <v/>
      </c>
      <c r="J42" s="41" t="str">
        <f t="shared" si="0"/>
        <v/>
      </c>
      <c r="K42" s="35" t="str">
        <f t="shared" si="1"/>
        <v/>
      </c>
      <c r="L42" s="8" t="str">
        <f t="shared" si="6"/>
        <v/>
      </c>
      <c r="M42" s="8" t="str">
        <f t="shared" si="7"/>
        <v/>
      </c>
    </row>
    <row r="43" spans="2:13" ht="14.25" customHeight="1" x14ac:dyDescent="0.35">
      <c r="B43" s="38" t="str">
        <f t="shared" si="2"/>
        <v/>
      </c>
      <c r="C43" s="42" t="str">
        <f t="shared" si="3"/>
        <v/>
      </c>
      <c r="D43" s="40" t="str">
        <f t="shared" si="4"/>
        <v/>
      </c>
      <c r="E43" s="41" t="str">
        <f t="shared" si="5"/>
        <v/>
      </c>
      <c r="F43" s="41" t="str">
        <f>IF(B43&lt;$D$4,$C$5-G43,IF(B43=$D$4,J42,IF(B43="Tổng",SUM($F$18:F42)," ")))</f>
        <v xml:space="preserve"> </v>
      </c>
      <c r="G43" s="41" t="str">
        <f>IF(B43&lt;=$D$4,J42*$G$4*D43,IF(B43="Tổng",SUM($G$18:G42),""))</f>
        <v/>
      </c>
      <c r="H43" s="41" t="str">
        <f>IF(B43&lt;=$D$4,ROUND(G43*1.6%/$F$4,0),IF(B43="Tổng",SUM($H$18:H42),""))</f>
        <v/>
      </c>
      <c r="I43" s="41" t="str">
        <f>IF(B43&lt;=$D$4,ROUND(G43*1.4%/$F$4,0),IF(B43="Tổng",SUM($I$18:I42),""))</f>
        <v/>
      </c>
      <c r="J43" s="41" t="str">
        <f t="shared" si="0"/>
        <v/>
      </c>
      <c r="K43" s="35" t="str">
        <f t="shared" si="1"/>
        <v/>
      </c>
      <c r="L43" s="8" t="str">
        <f t="shared" si="6"/>
        <v/>
      </c>
      <c r="M43" s="8" t="str">
        <f t="shared" si="7"/>
        <v/>
      </c>
    </row>
    <row r="44" spans="2:13" ht="14.25" customHeight="1" x14ac:dyDescent="0.35">
      <c r="B44" s="38" t="str">
        <f t="shared" si="2"/>
        <v/>
      </c>
      <c r="C44" s="42" t="str">
        <f t="shared" si="3"/>
        <v/>
      </c>
      <c r="D44" s="40" t="str">
        <f t="shared" si="4"/>
        <v/>
      </c>
      <c r="E44" s="41" t="str">
        <f t="shared" si="5"/>
        <v/>
      </c>
      <c r="F44" s="41" t="str">
        <f>IF(B44&lt;$D$4,$C$5-G44,IF(B44=$D$4,J43,IF(B44="Tổng",SUM($F$18:F43)," ")))</f>
        <v xml:space="preserve"> </v>
      </c>
      <c r="G44" s="41" t="str">
        <f>IF(B44&lt;=$D$4,J43*$G$4*D44,IF(B44="Tổng",SUM($G$18:G43),""))</f>
        <v/>
      </c>
      <c r="H44" s="41" t="str">
        <f>IF(B44&lt;=$D$4,ROUND(G44*1.6%/$F$4,0),IF(B44="Tổng",SUM($H$18:H43),""))</f>
        <v/>
      </c>
      <c r="I44" s="41" t="str">
        <f>IF(B44&lt;=$D$4,ROUND(G44*1.4%/$F$4,0),IF(B44="Tổng",SUM($I$18:I43),""))</f>
        <v/>
      </c>
      <c r="J44" s="41" t="str">
        <f t="shared" si="0"/>
        <v/>
      </c>
      <c r="K44" s="35" t="str">
        <f t="shared" si="1"/>
        <v/>
      </c>
      <c r="L44" s="8" t="str">
        <f t="shared" si="6"/>
        <v/>
      </c>
      <c r="M44" s="8" t="str">
        <f t="shared" si="7"/>
        <v/>
      </c>
    </row>
    <row r="45" spans="2:13" ht="14.25" customHeight="1" x14ac:dyDescent="0.35">
      <c r="B45" s="38" t="str">
        <f t="shared" si="2"/>
        <v/>
      </c>
      <c r="C45" s="42" t="str">
        <f t="shared" si="3"/>
        <v/>
      </c>
      <c r="D45" s="40" t="str">
        <f t="shared" si="4"/>
        <v/>
      </c>
      <c r="E45" s="41" t="str">
        <f t="shared" si="5"/>
        <v/>
      </c>
      <c r="F45" s="41" t="str">
        <f>IF(B45&lt;$D$4,$C$5-G45,IF(B45=$D$4,J44,IF(B45="Tổng",SUM($F$18:F44)," ")))</f>
        <v xml:space="preserve"> </v>
      </c>
      <c r="G45" s="41" t="str">
        <f>IF(B45&lt;=$D$4,J44*$G$4*D45,IF(B45="Tổng",SUM($G$18:G44),""))</f>
        <v/>
      </c>
      <c r="H45" s="41" t="str">
        <f>IF(B45&lt;=$D$4,ROUND(G45*1.6%/$F$4,0),IF(B45="Tổng",SUM($H$18:H44),""))</f>
        <v/>
      </c>
      <c r="I45" s="41" t="str">
        <f>IF(B45&lt;=$D$4,ROUND(G45*1.4%/$F$4,0),IF(B45="Tổng",SUM($I$18:I44),""))</f>
        <v/>
      </c>
      <c r="J45" s="41" t="str">
        <f t="shared" si="0"/>
        <v/>
      </c>
      <c r="K45" s="35" t="str">
        <f t="shared" si="1"/>
        <v/>
      </c>
      <c r="L45" s="8" t="str">
        <f t="shared" si="6"/>
        <v/>
      </c>
      <c r="M45" s="8" t="str">
        <f t="shared" si="7"/>
        <v/>
      </c>
    </row>
    <row r="46" spans="2:13" ht="14.25" customHeight="1" x14ac:dyDescent="0.35">
      <c r="B46" s="38" t="str">
        <f t="shared" si="2"/>
        <v/>
      </c>
      <c r="C46" s="42" t="str">
        <f t="shared" si="3"/>
        <v/>
      </c>
      <c r="D46" s="40" t="str">
        <f t="shared" si="4"/>
        <v/>
      </c>
      <c r="E46" s="41" t="str">
        <f t="shared" si="5"/>
        <v/>
      </c>
      <c r="F46" s="41" t="str">
        <f>IF(B46&lt;$D$4,$C$5-G46,IF(B46=$D$4,J45,IF(B46="Tổng",SUM($F$18:F45)," ")))</f>
        <v xml:space="preserve"> </v>
      </c>
      <c r="G46" s="41" t="str">
        <f>IF(B46&lt;=$D$4,J45*$G$4*D46,IF(B46="Tổng",SUM($G$18:G45),""))</f>
        <v/>
      </c>
      <c r="H46" s="41" t="str">
        <f>IF(B46&lt;=$D$4,ROUND(G46*1.6%/$F$4,0),IF(B46="Tổng",SUM($H$18:H45),""))</f>
        <v/>
      </c>
      <c r="I46" s="41" t="str">
        <f>IF(B46&lt;=$D$4,ROUND(G46*1.4%/$F$4,0),IF(B46="Tổng",SUM($I$18:I45),""))</f>
        <v/>
      </c>
      <c r="J46" s="41" t="str">
        <f t="shared" si="0"/>
        <v/>
      </c>
      <c r="K46" s="35" t="str">
        <f t="shared" si="1"/>
        <v/>
      </c>
      <c r="L46" s="8" t="str">
        <f t="shared" si="6"/>
        <v/>
      </c>
      <c r="M46" s="8" t="str">
        <f t="shared" si="7"/>
        <v/>
      </c>
    </row>
    <row r="47" spans="2:13" ht="14.25" customHeight="1" x14ac:dyDescent="0.35">
      <c r="B47" s="38" t="str">
        <f t="shared" si="2"/>
        <v/>
      </c>
      <c r="C47" s="42" t="str">
        <f t="shared" si="3"/>
        <v/>
      </c>
      <c r="D47" s="40" t="str">
        <f t="shared" si="4"/>
        <v/>
      </c>
      <c r="E47" s="41" t="str">
        <f t="shared" si="5"/>
        <v/>
      </c>
      <c r="F47" s="41" t="str">
        <f>IF(B47&lt;$D$4,$C$5-G47,IF(B47=$D$4,J46,IF(B47="Tổng",SUM($F$18:F46)," ")))</f>
        <v xml:space="preserve"> </v>
      </c>
      <c r="G47" s="41" t="str">
        <f>IF(B47&lt;=$D$4,J46*$G$4*D47,IF(B47="Tổng",SUM($G$18:G46),""))</f>
        <v/>
      </c>
      <c r="H47" s="41" t="str">
        <f>IF(B47&lt;=$D$4,ROUND(G47*1.6%/$F$4,0),IF(B47="Tổng",SUM($H$18:H46),""))</f>
        <v/>
      </c>
      <c r="I47" s="41" t="str">
        <f>IF(B47&lt;=$D$4,ROUND(G47*1.4%/$F$4,0),IF(B47="Tổng",SUM($I$18:I46),""))</f>
        <v/>
      </c>
      <c r="J47" s="41" t="str">
        <f t="shared" si="0"/>
        <v/>
      </c>
      <c r="K47" s="35" t="str">
        <f t="shared" si="1"/>
        <v/>
      </c>
      <c r="L47" s="8" t="str">
        <f t="shared" si="6"/>
        <v/>
      </c>
      <c r="M47" s="8" t="str">
        <f t="shared" si="7"/>
        <v/>
      </c>
    </row>
    <row r="48" spans="2:13" ht="14.25" customHeight="1" x14ac:dyDescent="0.35">
      <c r="B48" s="38" t="str">
        <f t="shared" si="2"/>
        <v/>
      </c>
      <c r="C48" s="42" t="str">
        <f t="shared" si="3"/>
        <v/>
      </c>
      <c r="D48" s="40" t="str">
        <f t="shared" si="4"/>
        <v/>
      </c>
      <c r="E48" s="41" t="str">
        <f t="shared" si="5"/>
        <v/>
      </c>
      <c r="F48" s="41" t="str">
        <f>IF(B48&lt;$D$4,$C$5-G48,IF(B48=$D$4,J47,IF(B48="Tổng",SUM($F$18:F47)," ")))</f>
        <v xml:space="preserve"> </v>
      </c>
      <c r="G48" s="41" t="str">
        <f>IF(B48&lt;=$D$4,J47*$G$4*D48,IF(B48="Tổng",SUM($G$18:G47),""))</f>
        <v/>
      </c>
      <c r="H48" s="41" t="str">
        <f>IF(B48&lt;=$D$4,ROUND(G48*1.6%/$F$4,0),IF(B48="Tổng",SUM($H$18:H47),""))</f>
        <v/>
      </c>
      <c r="I48" s="41" t="str">
        <f>IF(B48&lt;=$D$4,ROUND(G48*1.4%/$F$4,0),IF(B48="Tổng",SUM($I$18:I47),""))</f>
        <v/>
      </c>
      <c r="J48" s="41" t="str">
        <f t="shared" si="0"/>
        <v/>
      </c>
      <c r="K48" s="35" t="str">
        <f t="shared" si="1"/>
        <v/>
      </c>
      <c r="L48" s="8" t="str">
        <f t="shared" si="6"/>
        <v/>
      </c>
      <c r="M48" s="8" t="str">
        <f t="shared" si="7"/>
        <v/>
      </c>
    </row>
    <row r="49" spans="2:13" ht="14.25" customHeight="1" x14ac:dyDescent="0.35">
      <c r="B49" s="38" t="str">
        <f t="shared" si="2"/>
        <v/>
      </c>
      <c r="C49" s="42" t="str">
        <f t="shared" si="3"/>
        <v/>
      </c>
      <c r="D49" s="40" t="str">
        <f t="shared" si="4"/>
        <v/>
      </c>
      <c r="E49" s="41" t="str">
        <f t="shared" si="5"/>
        <v/>
      </c>
      <c r="F49" s="41" t="str">
        <f>IF(B49&lt;$D$4,$C$5-G49,IF(B49=$D$4,J48,IF(B49="Tổng",SUM($F$18:F48)," ")))</f>
        <v xml:space="preserve"> </v>
      </c>
      <c r="G49" s="41" t="str">
        <f>IF(B49&lt;=$D$4,J48*$G$4*D49,IF(B49="Tổng",SUM($G$18:G48),""))</f>
        <v/>
      </c>
      <c r="H49" s="41" t="str">
        <f>IF(B49&lt;=$D$4,ROUND(G49*1.6%/$F$4,0),IF(B49="Tổng",SUM($H$18:H48),""))</f>
        <v/>
      </c>
      <c r="I49" s="41" t="str">
        <f>IF(B49&lt;=$D$4,ROUND(G49*1.4%/$F$4,0),IF(B49="Tổng",SUM($I$18:I48),""))</f>
        <v/>
      </c>
      <c r="J49" s="41" t="str">
        <f t="shared" si="0"/>
        <v/>
      </c>
      <c r="K49" s="35" t="str">
        <f t="shared" si="1"/>
        <v/>
      </c>
      <c r="L49" s="8" t="str">
        <f t="shared" si="6"/>
        <v/>
      </c>
      <c r="M49" s="8" t="str">
        <f t="shared" si="7"/>
        <v/>
      </c>
    </row>
    <row r="50" spans="2:13" ht="14.25" customHeight="1" x14ac:dyDescent="0.35">
      <c r="B50" s="38" t="str">
        <f t="shared" si="2"/>
        <v/>
      </c>
      <c r="C50" s="42" t="str">
        <f t="shared" si="3"/>
        <v/>
      </c>
      <c r="D50" s="40" t="str">
        <f t="shared" si="4"/>
        <v/>
      </c>
      <c r="E50" s="41" t="str">
        <f t="shared" si="5"/>
        <v/>
      </c>
      <c r="F50" s="41" t="str">
        <f>IF(B50&lt;$D$4,$C$5-G50,IF(B50=$D$4,J49,IF(B50="Tổng",SUM($F$18:F49)," ")))</f>
        <v xml:space="preserve"> </v>
      </c>
      <c r="G50" s="41" t="str">
        <f>IF(B50&lt;=$D$4,J49*$G$4*D50,IF(B50="Tổng",SUM($G$18:G49),""))</f>
        <v/>
      </c>
      <c r="H50" s="41" t="str">
        <f>IF(B50&lt;=$D$4,ROUND(G50*1.6%/$F$4,0),IF(B50="Tổng",SUM($H$18:H49),""))</f>
        <v/>
      </c>
      <c r="I50" s="41" t="str">
        <f>IF(B50&lt;=$D$4,ROUND(G50*1.4%/$F$4,0),IF(B50="Tổng",SUM($I$18:I49),""))</f>
        <v/>
      </c>
      <c r="J50" s="41" t="str">
        <f t="shared" si="0"/>
        <v/>
      </c>
      <c r="K50" s="35" t="str">
        <f t="shared" si="1"/>
        <v/>
      </c>
      <c r="L50" s="8" t="str">
        <f t="shared" si="6"/>
        <v/>
      </c>
      <c r="M50" s="8" t="str">
        <f t="shared" si="7"/>
        <v/>
      </c>
    </row>
    <row r="51" spans="2:13" ht="14.25" customHeight="1" x14ac:dyDescent="0.35">
      <c r="B51" s="38" t="str">
        <f t="shared" si="2"/>
        <v/>
      </c>
      <c r="C51" s="42" t="str">
        <f t="shared" si="3"/>
        <v/>
      </c>
      <c r="D51" s="40" t="str">
        <f t="shared" si="4"/>
        <v/>
      </c>
      <c r="E51" s="41" t="str">
        <f t="shared" si="5"/>
        <v/>
      </c>
      <c r="F51" s="41" t="str">
        <f>IF(B51&lt;$D$4,$C$5-G51,IF(B51=$D$4,J50,IF(B51="Tổng",SUM($F$18:F50)," ")))</f>
        <v xml:space="preserve"> </v>
      </c>
      <c r="G51" s="41" t="str">
        <f>IF(B51&lt;=$D$4,J50*$G$4*D51,IF(B51="Tổng",SUM($G$18:G50),""))</f>
        <v/>
      </c>
      <c r="H51" s="41" t="str">
        <f>IF(B51&lt;=$D$4,ROUND(G51*1.6%/$F$4,0),IF(B51="Tổng",SUM($H$18:H50),""))</f>
        <v/>
      </c>
      <c r="I51" s="41" t="str">
        <f>IF(B51&lt;=$D$4,ROUND(G51*1.4%/$F$4,0),IF(B51="Tổng",SUM($I$18:I50),""))</f>
        <v/>
      </c>
      <c r="J51" s="41" t="str">
        <f t="shared" si="0"/>
        <v/>
      </c>
      <c r="K51" s="35" t="str">
        <f t="shared" si="1"/>
        <v/>
      </c>
      <c r="L51" s="8" t="str">
        <f t="shared" si="6"/>
        <v/>
      </c>
      <c r="M51" s="8" t="str">
        <f t="shared" si="7"/>
        <v/>
      </c>
    </row>
    <row r="52" spans="2:13" ht="14.25" customHeight="1" x14ac:dyDescent="0.35">
      <c r="B52" s="38" t="str">
        <f t="shared" si="2"/>
        <v/>
      </c>
      <c r="C52" s="42" t="str">
        <f t="shared" si="3"/>
        <v/>
      </c>
      <c r="D52" s="40" t="str">
        <f t="shared" si="4"/>
        <v/>
      </c>
      <c r="E52" s="41" t="str">
        <f t="shared" si="5"/>
        <v/>
      </c>
      <c r="F52" s="41" t="str">
        <f>IF(B52&lt;$D$4,$C$5-G52,IF(B52=$D$4,J51,IF(B52="Tổng",SUM($F$18:F51)," ")))</f>
        <v xml:space="preserve"> </v>
      </c>
      <c r="G52" s="41" t="str">
        <f>IF(B52&lt;=$D$4,J51*$G$4*D52,IF(B52="Tổng",SUM($G$18:G51),""))</f>
        <v/>
      </c>
      <c r="H52" s="41" t="str">
        <f>IF(B52&lt;=$D$4,ROUND(G52*1.6%/$F$4,0),IF(B52="Tổng",SUM($H$18:H51),""))</f>
        <v/>
      </c>
      <c r="I52" s="41" t="str">
        <f>IF(B52&lt;=$D$4,ROUND(G52*1.4%/$F$4,0),IF(B52="Tổng",SUM($I$18:I51),""))</f>
        <v/>
      </c>
      <c r="J52" s="41" t="str">
        <f t="shared" si="0"/>
        <v/>
      </c>
      <c r="K52" s="35" t="str">
        <f t="shared" si="1"/>
        <v/>
      </c>
      <c r="L52" s="8" t="str">
        <f t="shared" si="6"/>
        <v/>
      </c>
      <c r="M52" s="8" t="str">
        <f t="shared" si="7"/>
        <v/>
      </c>
    </row>
    <row r="53" spans="2:13" ht="14.25" customHeight="1" x14ac:dyDescent="0.35">
      <c r="B53" s="38" t="str">
        <f t="shared" si="2"/>
        <v/>
      </c>
      <c r="C53" s="42" t="str">
        <f t="shared" si="3"/>
        <v/>
      </c>
      <c r="D53" s="40" t="str">
        <f t="shared" si="4"/>
        <v/>
      </c>
      <c r="E53" s="41" t="str">
        <f t="shared" si="5"/>
        <v/>
      </c>
      <c r="F53" s="41" t="str">
        <f>IF(B53&lt;$D$4,$C$5-G53,IF(B53=$D$4,J52,IF(B53="Tổng",SUM($F$18:F52)," ")))</f>
        <v xml:space="preserve"> </v>
      </c>
      <c r="G53" s="41" t="str">
        <f>IF(B53&lt;=$D$4,J52*$G$4*D53,IF(B53="Tổng",SUM($G$18:G52),""))</f>
        <v/>
      </c>
      <c r="H53" s="41" t="str">
        <f>IF(B53&lt;=$D$4,ROUND(G53*1.6%/$F$4,0),IF(B53="Tổng",SUM($H$18:H52),""))</f>
        <v/>
      </c>
      <c r="I53" s="41" t="str">
        <f>IF(B53&lt;=$D$4,ROUND(G53*1.4%/$F$4,0),IF(B53="Tổng",SUM($I$18:I52),""))</f>
        <v/>
      </c>
      <c r="J53" s="41" t="str">
        <f t="shared" si="0"/>
        <v/>
      </c>
      <c r="K53" s="35" t="str">
        <f t="shared" si="1"/>
        <v/>
      </c>
      <c r="L53" s="8" t="str">
        <f t="shared" si="6"/>
        <v/>
      </c>
      <c r="M53" s="8" t="str">
        <f t="shared" si="7"/>
        <v/>
      </c>
    </row>
    <row r="54" spans="2:13" ht="14.25" customHeight="1" x14ac:dyDescent="0.35">
      <c r="B54" s="38" t="str">
        <f t="shared" si="2"/>
        <v/>
      </c>
      <c r="C54" s="42" t="str">
        <f t="shared" si="3"/>
        <v/>
      </c>
      <c r="D54" s="40" t="str">
        <f t="shared" si="4"/>
        <v/>
      </c>
      <c r="E54" s="41" t="str">
        <f t="shared" si="5"/>
        <v/>
      </c>
      <c r="F54" s="41" t="str">
        <f>IF(B54&lt;$D$4,$C$5-G54,IF(B54=$D$4,J53,IF(B54="Tổng",SUM($F$18:F53)," ")))</f>
        <v xml:space="preserve"> </v>
      </c>
      <c r="G54" s="41" t="str">
        <f>IF(B54&lt;=$D$4,J53*$G$4*D54,IF(B54="Tổng",SUM($G$18:G53),""))</f>
        <v/>
      </c>
      <c r="H54" s="41" t="str">
        <f>IF(B54&lt;=$D$4,ROUND(G54*1.6%/$F$4,0),IF(B54="Tổng",SUM($H$18:H53),""))</f>
        <v/>
      </c>
      <c r="I54" s="41" t="str">
        <f>IF(B54&lt;=$D$4,ROUND(G54*1.4%/$F$4,0),IF(B54="Tổng",SUM($I$18:I53),""))</f>
        <v/>
      </c>
      <c r="J54" s="41" t="str">
        <f t="shared" si="0"/>
        <v/>
      </c>
      <c r="K54" s="35" t="str">
        <f t="shared" si="1"/>
        <v/>
      </c>
      <c r="L54" s="8" t="str">
        <f t="shared" si="6"/>
        <v/>
      </c>
      <c r="M54" s="8" t="str">
        <f t="shared" si="7"/>
        <v/>
      </c>
    </row>
    <row r="55" spans="2:13" ht="14.25" customHeight="1" x14ac:dyDescent="0.35">
      <c r="B55" s="38" t="str">
        <f t="shared" si="2"/>
        <v/>
      </c>
      <c r="C55" s="42" t="str">
        <f t="shared" si="3"/>
        <v/>
      </c>
      <c r="D55" s="40" t="str">
        <f t="shared" si="4"/>
        <v/>
      </c>
      <c r="E55" s="41" t="str">
        <f t="shared" si="5"/>
        <v/>
      </c>
      <c r="F55" s="41" t="str">
        <f>IF(B55&lt;$D$4,$C$5-G55,IF(B55=$D$4,J54,IF(B55="Tổng",SUM($F$18:F54)," ")))</f>
        <v xml:space="preserve"> </v>
      </c>
      <c r="G55" s="41" t="str">
        <f>IF(B55&lt;=$D$4,J54*$G$4*D55,IF(B55="Tổng",SUM($G$18:G54),""))</f>
        <v/>
      </c>
      <c r="H55" s="41" t="str">
        <f>IF(B55&lt;=$D$4,ROUND(G55*1.6%/$F$4,0),IF(B55="Tổng",SUM($H$18:H54),""))</f>
        <v/>
      </c>
      <c r="I55" s="41" t="str">
        <f>IF(B55&lt;=$D$4,ROUND(G55*1.4%/$F$4,0),IF(B55="Tổng",SUM($I$18:I54),""))</f>
        <v/>
      </c>
      <c r="J55" s="41" t="str">
        <f t="shared" si="0"/>
        <v/>
      </c>
      <c r="K55" s="35" t="str">
        <f t="shared" si="1"/>
        <v/>
      </c>
      <c r="L55" s="8" t="str">
        <f>G55</f>
        <v/>
      </c>
      <c r="M55" s="8"/>
    </row>
    <row r="56" spans="2:13" ht="14.25" customHeight="1" x14ac:dyDescent="0.35">
      <c r="D56" s="7">
        <f>SUM(D18:D55)</f>
        <v>732</v>
      </c>
    </row>
    <row r="57" spans="2:13" ht="14.25" customHeight="1" x14ac:dyDescent="0.35"/>
    <row r="58" spans="2:13" ht="14.25" customHeight="1" x14ac:dyDescent="0.35"/>
    <row r="59" spans="2:13" ht="14.25" customHeight="1" x14ac:dyDescent="0.35"/>
    <row r="60" spans="2:13" ht="14.25" customHeight="1" x14ac:dyDescent="0.35"/>
    <row r="61" spans="2:13" ht="14.25" customHeight="1" x14ac:dyDescent="0.35"/>
    <row r="62" spans="2:13" ht="14.25" customHeight="1" x14ac:dyDescent="0.35"/>
    <row r="63" spans="2:13" ht="14.25" customHeight="1" x14ac:dyDescent="0.35"/>
    <row r="64" spans="2:13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</sheetData>
  <mergeCells count="2">
    <mergeCell ref="A1:J1"/>
    <mergeCell ref="B16:J16"/>
  </mergeCells>
  <pageMargins left="0.7" right="0.7" top="0.75" bottom="0.75" header="0" footer="0"/>
  <pageSetup orientation="landscape" r:id="rId1"/>
  <ignoredErrors>
    <ignoredError sqref="D3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8418d5-5b17-4481-b85a-7202dc14a236" xsi:nil="true"/>
    <lcf76f155ced4ddcb4097134ff3c332f xmlns="2f9e5f67-ced7-492a-b33d-f09f3d1a36f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8B6971E1EF05469F3F00F605E8B820" ma:contentTypeVersion="17" ma:contentTypeDescription="Create a new document." ma:contentTypeScope="" ma:versionID="21e3d4b3aa47570f4dcafc45c133f495">
  <xsd:schema xmlns:xsd="http://www.w3.org/2001/XMLSchema" xmlns:xs="http://www.w3.org/2001/XMLSchema" xmlns:p="http://schemas.microsoft.com/office/2006/metadata/properties" xmlns:ns2="6a8418d5-5b17-4481-b85a-7202dc14a236" xmlns:ns3="2f9e5f67-ced7-492a-b33d-f09f3d1a36f5" targetNamespace="http://schemas.microsoft.com/office/2006/metadata/properties" ma:root="true" ma:fieldsID="6e6edc49526c934a853b97fa4c54b1a5" ns2:_="" ns3:_="">
    <xsd:import namespace="6a8418d5-5b17-4481-b85a-7202dc14a236"/>
    <xsd:import namespace="2f9e5f67-ced7-492a-b33d-f09f3d1a36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418d5-5b17-4481-b85a-7202dc14a2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f7d64a9-f671-4d12-85d2-30c1a99ab079}" ma:internalName="TaxCatchAll" ma:showField="CatchAllData" ma:web="6a8418d5-5b17-4481-b85a-7202dc14a2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5f67-ced7-492a-b33d-f09f3d1a36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9119965-112c-4f79-a524-155f2658e9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5F3DC-F11D-4F10-B1D3-11B8DC04FB34}">
  <ds:schemaRefs>
    <ds:schemaRef ds:uri="http://schemas.microsoft.com/office/2006/metadata/properties"/>
    <ds:schemaRef ds:uri="http://schemas.microsoft.com/office/infopath/2007/PartnerControls"/>
    <ds:schemaRef ds:uri="6a8418d5-5b17-4481-b85a-7202dc14a236"/>
    <ds:schemaRef ds:uri="2f9e5f67-ced7-492a-b33d-f09f3d1a36f5"/>
  </ds:schemaRefs>
</ds:datastoreItem>
</file>

<file path=customXml/itemProps2.xml><?xml version="1.0" encoding="utf-8"?>
<ds:datastoreItem xmlns:ds="http://schemas.openxmlformats.org/officeDocument/2006/customXml" ds:itemID="{0E1E4EA2-3080-4E1E-B3B4-ACEF18462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8418d5-5b17-4481-b85a-7202dc14a236"/>
    <ds:schemaRef ds:uri="2f9e5f67-ced7-492a-b33d-f09f3d1a36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1EC6A2-8D29-48C0-BCA1-1A6453023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Lịch Simulation Engine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Hoai Giang</dc:creator>
  <cp:keywords/>
  <dc:description/>
  <cp:lastModifiedBy>Admin</cp:lastModifiedBy>
  <cp:revision/>
  <dcterms:created xsi:type="dcterms:W3CDTF">2023-03-24T03:11:08Z</dcterms:created>
  <dcterms:modified xsi:type="dcterms:W3CDTF">2026-07-08T09:20:10Z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0x010100888B6971E1EF05469F3F00F605E8B820</vt:lpwstr>
  </property>
  <property fmtid="{D5CDD505-2E9C-101B-9397-08002B2CF9AE}" pid="3" name="MediaServiceImageTags">
    <vt:lpwstr/>
  </property>
</Properties>
</file>